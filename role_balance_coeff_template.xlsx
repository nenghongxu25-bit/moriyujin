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ndardParams" sheetId="1" r:id="rId1"/>
    <sheet name="Coefficients" sheetId="2" r:id="rId2"/>
    <sheet name="EquipPlans" sheetId="3" r:id="rId3"/>
    <sheet name="TestCases" sheetId="4" r:id="rId4"/>
    <sheet name="Results" sheetId="5" r:id="rId5"/>
  </sheets>
  <calcPr calcMode="auto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属性分类</t>
        </is>
      </c>
      <c r="B1" t="inlineStr">
        <is>
          <t>属性名</t>
        </is>
      </c>
      <c r="C1" t="inlineStr">
        <is>
          <t>基础数值</t>
        </is>
      </c>
      <c r="D1" t="inlineStr">
        <is>
          <t>成长/级</t>
        </is>
      </c>
      <c r="E1" t="inlineStr">
        <is>
          <t>资质</t>
        </is>
      </c>
      <c r="F1" t="inlineStr">
        <is>
          <t>经脉</t>
        </is>
      </c>
    </row>
    <row r="2">
      <c r="A2" t="inlineStr">
        <is>
          <t>基础属性</t>
        </is>
      </c>
      <c r="B2" t="inlineStr">
        <is>
          <t>臂力</t>
        </is>
      </c>
      <c r="C2">
        <v>10</v>
      </c>
      <c r="D2">
        <v>1</v>
      </c>
      <c r="E2">
        <v>1</v>
      </c>
      <c r="F2">
        <v>20</v>
      </c>
    </row>
    <row r="3">
      <c r="A3" t="inlineStr">
        <is>
          <t>基础属性</t>
        </is>
      </c>
      <c r="B3" t="inlineStr">
        <is>
          <t>技巧</t>
        </is>
      </c>
      <c r="C3">
        <v>10</v>
      </c>
      <c r="D3">
        <v>1</v>
      </c>
      <c r="E3">
        <v>1</v>
      </c>
      <c r="F3">
        <v>20</v>
      </c>
    </row>
    <row r="4">
      <c r="A4" t="inlineStr">
        <is>
          <t>基础属性</t>
        </is>
      </c>
      <c r="B4" t="inlineStr">
        <is>
          <t>根骨</t>
        </is>
      </c>
      <c r="C4">
        <v>10</v>
      </c>
      <c r="D4">
        <v>1</v>
      </c>
      <c r="E4">
        <v>1</v>
      </c>
      <c r="F4">
        <v>20</v>
      </c>
    </row>
    <row r="5">
      <c r="A5" t="inlineStr">
        <is>
          <t>基础属性</t>
        </is>
      </c>
      <c r="B5" t="inlineStr">
        <is>
          <t>内息</t>
        </is>
      </c>
      <c r="C5">
        <v>10</v>
      </c>
      <c r="D5">
        <v>1</v>
      </c>
      <c r="E5">
        <v>1</v>
      </c>
      <c r="F5">
        <v>20</v>
      </c>
    </row>
    <row r="6">
      <c r="A6" t="inlineStr">
        <is>
          <t>基础属性</t>
        </is>
      </c>
      <c r="B6" t="inlineStr">
        <is>
          <t>身法</t>
        </is>
      </c>
      <c r="C6">
        <v>10</v>
      </c>
      <c r="D6">
        <v>1</v>
      </c>
      <c r="E6">
        <v>1</v>
      </c>
      <c r="F6">
        <v>20</v>
      </c>
    </row>
    <row r="7">
      <c r="A7" t="inlineStr">
        <is>
          <t>基础属性</t>
        </is>
      </c>
      <c r="B7" t="inlineStr">
        <is>
          <t>定力</t>
        </is>
      </c>
      <c r="C7">
        <v>10</v>
      </c>
      <c r="D7">
        <v>1</v>
      </c>
      <c r="E7">
        <v>1</v>
      </c>
      <c r="F7">
        <v>20</v>
      </c>
    </row>
    <row r="8">
      <c r="A8" t="inlineStr">
        <is>
          <t>二级属性</t>
        </is>
      </c>
      <c r="B8" t="inlineStr">
        <is>
          <t>攻击</t>
        </is>
      </c>
      <c r="C8">
        <v>100</v>
      </c>
      <c r="D8">
        <v>20</v>
      </c>
      <c r="E8"/>
      <c r="F8">
        <v>490</v>
      </c>
    </row>
    <row r="9">
      <c r="A9" t="inlineStr">
        <is>
          <t>二级属性</t>
        </is>
      </c>
      <c r="B9" t="inlineStr">
        <is>
          <t>防御</t>
        </is>
      </c>
      <c r="C9">
        <v>100</v>
      </c>
      <c r="D9">
        <v>20</v>
      </c>
      <c r="E9"/>
      <c r="F9">
        <v>1456</v>
      </c>
    </row>
    <row r="10">
      <c r="A10" t="inlineStr">
        <is>
          <t>二级属性</t>
        </is>
      </c>
      <c r="B10" t="inlineStr">
        <is>
          <t>速度</t>
        </is>
      </c>
      <c r="C10">
        <v>20</v>
      </c>
      <c r="D10">
        <v>5</v>
      </c>
      <c r="E10"/>
      <c r="F10">
        <v>540</v>
      </c>
    </row>
    <row r="11">
      <c r="A11" t="inlineStr">
        <is>
          <t>二级属性</t>
        </is>
      </c>
      <c r="B11" t="inlineStr">
        <is>
          <t>命中</t>
        </is>
      </c>
      <c r="C11">
        <v>20</v>
      </c>
      <c r="D11">
        <v>5</v>
      </c>
      <c r="E11"/>
      <c r="F11">
        <v>590</v>
      </c>
    </row>
    <row r="12">
      <c r="A12" t="inlineStr">
        <is>
          <t>二级属性</t>
        </is>
      </c>
      <c r="B12" t="inlineStr">
        <is>
          <t>招架</t>
        </is>
      </c>
      <c r="C12">
        <v>20</v>
      </c>
      <c r="D12">
        <v>5</v>
      </c>
      <c r="E12"/>
      <c r="F12">
        <v>440</v>
      </c>
    </row>
    <row r="13">
      <c r="A13" t="inlineStr">
        <is>
          <t>二级属性</t>
        </is>
      </c>
      <c r="B13" t="inlineStr">
        <is>
          <t>偏斜</t>
        </is>
      </c>
      <c r="C13">
        <v>20</v>
      </c>
      <c r="D13">
        <v>5</v>
      </c>
      <c r="E13"/>
      <c r="F13">
        <v>820</v>
      </c>
    </row>
    <row r="14">
      <c r="A14" t="inlineStr">
        <is>
          <t>二级属性</t>
        </is>
      </c>
      <c r="B14" t="inlineStr">
        <is>
          <t>抵抗</t>
        </is>
      </c>
      <c r="C14">
        <v>0</v>
      </c>
      <c r="D14">
        <v>0</v>
      </c>
      <c r="E14"/>
      <c r="F14"/>
    </row>
    <row r="15">
      <c r="A15" t="inlineStr">
        <is>
          <t>二级属性</t>
        </is>
      </c>
      <c r="B15" t="inlineStr">
        <is>
          <t>韧性</t>
        </is>
      </c>
      <c r="C15">
        <v>0</v>
      </c>
      <c r="D15">
        <v>0</v>
      </c>
      <c r="E15"/>
      <c r="F15"/>
    </row>
    <row r="16">
      <c r="A16" t="inlineStr">
        <is>
          <t>二级属性</t>
        </is>
      </c>
      <c r="B16" t="inlineStr">
        <is>
          <t>气血</t>
        </is>
      </c>
      <c r="C16">
        <v>500</v>
      </c>
      <c r="D16">
        <v>100</v>
      </c>
      <c r="E16"/>
      <c r="F16">
        <v>3040</v>
      </c>
    </row>
    <row r="17">
      <c r="A17" t="inlineStr">
        <is>
          <t>二级属性</t>
        </is>
      </c>
      <c r="B17" t="inlineStr">
        <is>
          <t>内力</t>
        </is>
      </c>
      <c r="C17">
        <v>200</v>
      </c>
      <c r="D17">
        <v>40</v>
      </c>
      <c r="E17"/>
      <c r="F17">
        <v>1650</v>
      </c>
    </row>
    <row r="18">
      <c r="A18" t="inlineStr">
        <is>
          <t>二级属性</t>
        </is>
      </c>
      <c r="B18" t="inlineStr">
        <is>
          <t>内力回复</t>
        </is>
      </c>
      <c r="C18">
        <v>10</v>
      </c>
      <c r="D18">
        <v>2</v>
      </c>
      <c r="E18"/>
      <c r="F18">
        <v>75</v>
      </c>
    </row>
    <row r="19">
      <c r="A19" t="inlineStr">
        <is>
          <t>二级属性</t>
        </is>
      </c>
      <c r="B19" t="inlineStr">
        <is>
          <t>气血恢复</t>
        </is>
      </c>
      <c r="C19">
        <v>10</v>
      </c>
      <c r="D19">
        <v>1</v>
      </c>
      <c r="E19"/>
      <c r="F19"/>
    </row>
    <row r="20">
      <c r="A20" t="inlineStr">
        <is>
          <t>三级属性</t>
        </is>
      </c>
      <c r="B20" t="inlineStr">
        <is>
          <t>免伤</t>
        </is>
      </c>
      <c r="C20">
        <v>0</v>
      </c>
      <c r="D20"/>
      <c r="E20"/>
      <c r="F20"/>
    </row>
    <row r="21">
      <c r="A21" t="inlineStr">
        <is>
          <t>三级属性</t>
        </is>
      </c>
      <c r="B21" t="inlineStr">
        <is>
          <t>招架率</t>
        </is>
      </c>
      <c r="C21">
        <v>0.46418338108882523</v>
      </c>
      <c r="D21"/>
      <c r="E21"/>
      <c r="F21"/>
    </row>
    <row r="22">
      <c r="A22" t="inlineStr">
        <is>
          <t>三级属性</t>
        </is>
      </c>
      <c r="B22" t="inlineStr">
        <is>
          <t>偏斜率</t>
        </is>
      </c>
      <c r="C22">
        <v>0.460431654676259</v>
      </c>
      <c r="D22"/>
      <c r="E22"/>
      <c r="F22"/>
    </row>
    <row r="23">
      <c r="A23" t="inlineStr">
        <is>
          <t>三级属性</t>
        </is>
      </c>
      <c r="B23" t="inlineStr">
        <is>
          <t>抵抗效果</t>
        </is>
      </c>
      <c r="C23"/>
      <c r="D23"/>
      <c r="E23"/>
      <c r="F23"/>
    </row>
    <row r="24">
      <c r="A24" t="inlineStr">
        <is>
          <t>三级属性</t>
        </is>
      </c>
      <c r="B24" t="inlineStr">
        <is>
          <t>免伤率</t>
        </is>
      </c>
      <c r="C24"/>
      <c r="D24"/>
      <c r="E24"/>
      <c r="F24"/>
    </row>
    <row r="25">
      <c r="A25" t="inlineStr">
        <is>
          <t>三级属性</t>
        </is>
      </c>
      <c r="B25" t="inlineStr">
        <is>
          <t>防御免伤率</t>
        </is>
      </c>
      <c r="C25">
        <v>0.4255514705882353</v>
      </c>
      <c r="D25"/>
      <c r="E25"/>
      <c r="F2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角色</t>
        </is>
      </c>
      <c r="B1" t="inlineStr">
        <is>
          <t>属性名</t>
        </is>
      </c>
      <c r="C1" t="inlineStr">
        <is>
          <t>基础数值系数</t>
        </is>
      </c>
      <c r="D1" t="inlineStr">
        <is>
          <t>成长系数</t>
        </is>
      </c>
      <c r="E1" t="inlineStr">
        <is>
          <t>资质系数</t>
        </is>
      </c>
      <c r="F1" t="inlineStr">
        <is>
          <t>经脉系数</t>
        </is>
      </c>
    </row>
    <row r="2">
      <c r="A2" t="inlineStr">
        <is>
          <t>青槐</t>
        </is>
      </c>
      <c r="B2" t="inlineStr">
        <is>
          <t>臂力</t>
        </is>
      </c>
      <c r="C2">
        <v>1</v>
      </c>
      <c r="D2">
        <v>1</v>
      </c>
      <c r="E2">
        <v>1</v>
      </c>
      <c r="F2">
        <v>1</v>
      </c>
    </row>
    <row r="3">
      <c r="A3" t="inlineStr">
        <is>
          <t>青槐</t>
        </is>
      </c>
      <c r="B3" t="inlineStr">
        <is>
          <t>技巧</t>
        </is>
      </c>
      <c r="C3">
        <v>1</v>
      </c>
      <c r="D3">
        <v>1</v>
      </c>
      <c r="E3">
        <v>1</v>
      </c>
      <c r="F3">
        <v>1</v>
      </c>
    </row>
    <row r="4">
      <c r="A4" t="inlineStr">
        <is>
          <t>青槐</t>
        </is>
      </c>
      <c r="B4" t="inlineStr">
        <is>
          <t>根骨</t>
        </is>
      </c>
      <c r="C4">
        <v>1</v>
      </c>
      <c r="D4">
        <v>1</v>
      </c>
      <c r="E4">
        <v>1</v>
      </c>
      <c r="F4">
        <v>1</v>
      </c>
    </row>
    <row r="5">
      <c r="A5" t="inlineStr">
        <is>
          <t>青槐</t>
        </is>
      </c>
      <c r="B5" t="inlineStr">
        <is>
          <t>内息</t>
        </is>
      </c>
      <c r="C5">
        <v>1</v>
      </c>
      <c r="D5">
        <v>1</v>
      </c>
      <c r="E5">
        <v>1</v>
      </c>
      <c r="F5">
        <v>1</v>
      </c>
    </row>
    <row r="6">
      <c r="A6" t="inlineStr">
        <is>
          <t>青槐</t>
        </is>
      </c>
      <c r="B6" t="inlineStr">
        <is>
          <t>身法</t>
        </is>
      </c>
      <c r="C6">
        <v>1</v>
      </c>
      <c r="D6">
        <v>1</v>
      </c>
      <c r="E6">
        <v>1</v>
      </c>
      <c r="F6">
        <v>1</v>
      </c>
    </row>
    <row r="7">
      <c r="A7" t="inlineStr">
        <is>
          <t>青槐</t>
        </is>
      </c>
      <c r="B7" t="inlineStr">
        <is>
          <t>定力</t>
        </is>
      </c>
      <c r="C7">
        <v>1</v>
      </c>
      <c r="D7">
        <v>1</v>
      </c>
      <c r="E7">
        <v>1</v>
      </c>
      <c r="F7">
        <v>1</v>
      </c>
    </row>
    <row r="8">
      <c r="A8" t="inlineStr">
        <is>
          <t>青槐</t>
        </is>
      </c>
      <c r="B8" t="inlineStr">
        <is>
          <t>攻击</t>
        </is>
      </c>
      <c r="C8">
        <v>1</v>
      </c>
      <c r="D8">
        <v>1</v>
      </c>
      <c r="E8">
        <v>1</v>
      </c>
      <c r="F8">
        <v>1</v>
      </c>
    </row>
    <row r="9">
      <c r="A9" t="inlineStr">
        <is>
          <t>青槐</t>
        </is>
      </c>
      <c r="B9" t="inlineStr">
        <is>
          <t>防御</t>
        </is>
      </c>
      <c r="C9">
        <v>1</v>
      </c>
      <c r="D9">
        <v>1</v>
      </c>
      <c r="E9">
        <v>1</v>
      </c>
      <c r="F9">
        <v>1</v>
      </c>
    </row>
    <row r="10">
      <c r="A10" t="inlineStr">
        <is>
          <t>青槐</t>
        </is>
      </c>
      <c r="B10" t="inlineStr">
        <is>
          <t>速度</t>
        </is>
      </c>
      <c r="C10">
        <v>1</v>
      </c>
      <c r="D10">
        <v>1</v>
      </c>
      <c r="E10">
        <v>1</v>
      </c>
      <c r="F10">
        <v>1</v>
      </c>
    </row>
    <row r="11">
      <c r="A11" t="inlineStr">
        <is>
          <t>青槐</t>
        </is>
      </c>
      <c r="B11" t="inlineStr">
        <is>
          <t>命中</t>
        </is>
      </c>
      <c r="C11">
        <v>1</v>
      </c>
      <c r="D11">
        <v>1</v>
      </c>
      <c r="E11">
        <v>1</v>
      </c>
      <c r="F11">
        <v>1</v>
      </c>
    </row>
    <row r="12">
      <c r="A12" t="inlineStr">
        <is>
          <t>青槐</t>
        </is>
      </c>
      <c r="B12" t="inlineStr">
        <is>
          <t>招架</t>
        </is>
      </c>
      <c r="C12">
        <v>1</v>
      </c>
      <c r="D12">
        <v>1</v>
      </c>
      <c r="E12">
        <v>1</v>
      </c>
      <c r="F12">
        <v>1</v>
      </c>
    </row>
    <row r="13">
      <c r="A13" t="inlineStr">
        <is>
          <t>青槐</t>
        </is>
      </c>
      <c r="B13" t="inlineStr">
        <is>
          <t>偏斜</t>
        </is>
      </c>
      <c r="C13">
        <v>1</v>
      </c>
      <c r="D13">
        <v>1</v>
      </c>
      <c r="E13">
        <v>1</v>
      </c>
      <c r="F13">
        <v>1</v>
      </c>
    </row>
    <row r="14">
      <c r="A14" t="inlineStr">
        <is>
          <t>青槐</t>
        </is>
      </c>
      <c r="B14" t="inlineStr">
        <is>
          <t>抵抗</t>
        </is>
      </c>
      <c r="C14">
        <v>1</v>
      </c>
      <c r="D14">
        <v>1</v>
      </c>
      <c r="E14">
        <v>1</v>
      </c>
      <c r="F14">
        <v>1</v>
      </c>
    </row>
    <row r="15">
      <c r="A15" t="inlineStr">
        <is>
          <t>青槐</t>
        </is>
      </c>
      <c r="B15" t="inlineStr">
        <is>
          <t>韧性</t>
        </is>
      </c>
      <c r="C15">
        <v>1</v>
      </c>
      <c r="D15">
        <v>1</v>
      </c>
      <c r="E15">
        <v>1</v>
      </c>
      <c r="F15">
        <v>1</v>
      </c>
    </row>
    <row r="16">
      <c r="A16" t="inlineStr">
        <is>
          <t>青槐</t>
        </is>
      </c>
      <c r="B16" t="inlineStr">
        <is>
          <t>气血</t>
        </is>
      </c>
      <c r="C16">
        <v>1</v>
      </c>
      <c r="D16">
        <v>1</v>
      </c>
      <c r="E16">
        <v>1</v>
      </c>
      <c r="F16">
        <v>1</v>
      </c>
    </row>
    <row r="17">
      <c r="A17" t="inlineStr">
        <is>
          <t>青槐</t>
        </is>
      </c>
      <c r="B17" t="inlineStr">
        <is>
          <t>内力</t>
        </is>
      </c>
      <c r="C17">
        <v>1</v>
      </c>
      <c r="D17">
        <v>1</v>
      </c>
      <c r="E17">
        <v>1</v>
      </c>
      <c r="F17">
        <v>1</v>
      </c>
    </row>
    <row r="18">
      <c r="A18" t="inlineStr">
        <is>
          <t>青槐</t>
        </is>
      </c>
      <c r="B18" t="inlineStr">
        <is>
          <t>内力回复</t>
        </is>
      </c>
      <c r="C18">
        <v>1</v>
      </c>
      <c r="D18">
        <v>1</v>
      </c>
      <c r="E18">
        <v>1</v>
      </c>
      <c r="F18">
        <v>1</v>
      </c>
    </row>
    <row r="19">
      <c r="A19" t="inlineStr">
        <is>
          <t>青槐</t>
        </is>
      </c>
      <c r="B19" t="inlineStr">
        <is>
          <t>气血恢复</t>
        </is>
      </c>
      <c r="C19">
        <v>1</v>
      </c>
      <c r="D19">
        <v>1</v>
      </c>
      <c r="E19">
        <v>1</v>
      </c>
      <c r="F19">
        <v>1</v>
      </c>
    </row>
    <row r="20">
      <c r="A20" t="inlineStr">
        <is>
          <t>青槐</t>
        </is>
      </c>
      <c r="B20" t="inlineStr">
        <is>
          <t>免伤</t>
        </is>
      </c>
      <c r="C20">
        <v>1</v>
      </c>
      <c r="D20">
        <v>1</v>
      </c>
      <c r="E20">
        <v>1</v>
      </c>
      <c r="F20">
        <v>1</v>
      </c>
    </row>
    <row r="21">
      <c r="A21" t="inlineStr">
        <is>
          <t>青槐</t>
        </is>
      </c>
      <c r="B21" t="inlineStr">
        <is>
          <t>招架率</t>
        </is>
      </c>
      <c r="C21">
        <v>1</v>
      </c>
      <c r="D21">
        <v>1</v>
      </c>
      <c r="E21">
        <v>1</v>
      </c>
      <c r="F21">
        <v>1</v>
      </c>
    </row>
    <row r="22">
      <c r="A22" t="inlineStr">
        <is>
          <t>青槐</t>
        </is>
      </c>
      <c r="B22" t="inlineStr">
        <is>
          <t>偏斜率</t>
        </is>
      </c>
      <c r="C22">
        <v>1</v>
      </c>
      <c r="D22">
        <v>1</v>
      </c>
      <c r="E22">
        <v>1</v>
      </c>
      <c r="F22">
        <v>1</v>
      </c>
    </row>
    <row r="23">
      <c r="A23" t="inlineStr">
        <is>
          <t>青槐</t>
        </is>
      </c>
      <c r="B23" t="inlineStr">
        <is>
          <t>抵抗效果</t>
        </is>
      </c>
      <c r="C23">
        <v>1</v>
      </c>
      <c r="D23">
        <v>1</v>
      </c>
      <c r="E23">
        <v>1</v>
      </c>
      <c r="F23">
        <v>1</v>
      </c>
    </row>
    <row r="24">
      <c r="A24" t="inlineStr">
        <is>
          <t>青槐</t>
        </is>
      </c>
      <c r="B24" t="inlineStr">
        <is>
          <t>免伤率</t>
        </is>
      </c>
      <c r="C24">
        <v>1</v>
      </c>
      <c r="D24">
        <v>1</v>
      </c>
      <c r="E24">
        <v>1</v>
      </c>
      <c r="F24">
        <v>1</v>
      </c>
    </row>
    <row r="25">
      <c r="A25" t="inlineStr">
        <is>
          <t>青槐</t>
        </is>
      </c>
      <c r="B25" t="inlineStr">
        <is>
          <t>防御免伤率</t>
        </is>
      </c>
      <c r="C25">
        <v>1</v>
      </c>
      <c r="D25">
        <v>1</v>
      </c>
      <c r="E25">
        <v>1</v>
      </c>
      <c r="F25">
        <v>1</v>
      </c>
    </row>
    <row r="26">
      <c r="A26" t="inlineStr">
        <is>
          <t>新角色</t>
        </is>
      </c>
      <c r="B26" t="inlineStr">
        <is>
          <t>臂力</t>
        </is>
      </c>
      <c r="C26">
        <v>1</v>
      </c>
      <c r="D26">
        <v>1</v>
      </c>
      <c r="E26">
        <v>1</v>
      </c>
      <c r="F26">
        <v>1</v>
      </c>
    </row>
    <row r="27">
      <c r="A27" t="inlineStr">
        <is>
          <t>新角色</t>
        </is>
      </c>
      <c r="B27" t="inlineStr">
        <is>
          <t>技巧</t>
        </is>
      </c>
      <c r="C27">
        <v>1</v>
      </c>
      <c r="D27">
        <v>1</v>
      </c>
      <c r="E27">
        <v>1</v>
      </c>
      <c r="F27">
        <v>1</v>
      </c>
    </row>
    <row r="28">
      <c r="A28" t="inlineStr">
        <is>
          <t>新角色</t>
        </is>
      </c>
      <c r="B28" t="inlineStr">
        <is>
          <t>根骨</t>
        </is>
      </c>
      <c r="C28">
        <v>1</v>
      </c>
      <c r="D28">
        <v>1</v>
      </c>
      <c r="E28">
        <v>1</v>
      </c>
      <c r="F28">
        <v>1</v>
      </c>
    </row>
    <row r="29">
      <c r="A29" t="inlineStr">
        <is>
          <t>新角色</t>
        </is>
      </c>
      <c r="B29" t="inlineStr">
        <is>
          <t>内息</t>
        </is>
      </c>
      <c r="C29">
        <v>1</v>
      </c>
      <c r="D29">
        <v>1</v>
      </c>
      <c r="E29">
        <v>1</v>
      </c>
      <c r="F29">
        <v>1</v>
      </c>
    </row>
    <row r="30">
      <c r="A30" t="inlineStr">
        <is>
          <t>新角色</t>
        </is>
      </c>
      <c r="B30" t="inlineStr">
        <is>
          <t>身法</t>
        </is>
      </c>
      <c r="C30">
        <v>1</v>
      </c>
      <c r="D30">
        <v>1</v>
      </c>
      <c r="E30">
        <v>1</v>
      </c>
      <c r="F30">
        <v>1</v>
      </c>
    </row>
    <row r="31">
      <c r="A31" t="inlineStr">
        <is>
          <t>新角色</t>
        </is>
      </c>
      <c r="B31" t="inlineStr">
        <is>
          <t>定力</t>
        </is>
      </c>
      <c r="C31">
        <v>1</v>
      </c>
      <c r="D31">
        <v>1</v>
      </c>
      <c r="E31">
        <v>1</v>
      </c>
      <c r="F31">
        <v>1</v>
      </c>
    </row>
    <row r="32">
      <c r="A32" t="inlineStr">
        <is>
          <t>新角色</t>
        </is>
      </c>
      <c r="B32" t="inlineStr">
        <is>
          <t>攻击</t>
        </is>
      </c>
      <c r="C32">
        <v>1</v>
      </c>
      <c r="D32">
        <v>1</v>
      </c>
      <c r="E32">
        <v>1</v>
      </c>
      <c r="F32">
        <v>1</v>
      </c>
    </row>
    <row r="33">
      <c r="A33" t="inlineStr">
        <is>
          <t>新角色</t>
        </is>
      </c>
      <c r="B33" t="inlineStr">
        <is>
          <t>防御</t>
        </is>
      </c>
      <c r="C33">
        <v>1</v>
      </c>
      <c r="D33">
        <v>1</v>
      </c>
      <c r="E33">
        <v>1</v>
      </c>
      <c r="F33">
        <v>1</v>
      </c>
    </row>
    <row r="34">
      <c r="A34" t="inlineStr">
        <is>
          <t>新角色</t>
        </is>
      </c>
      <c r="B34" t="inlineStr">
        <is>
          <t>速度</t>
        </is>
      </c>
      <c r="C34">
        <v>1</v>
      </c>
      <c r="D34">
        <v>1</v>
      </c>
      <c r="E34">
        <v>1</v>
      </c>
      <c r="F34">
        <v>1</v>
      </c>
    </row>
    <row r="35">
      <c r="A35" t="inlineStr">
        <is>
          <t>新角色</t>
        </is>
      </c>
      <c r="B35" t="inlineStr">
        <is>
          <t>命中</t>
        </is>
      </c>
      <c r="C35">
        <v>1</v>
      </c>
      <c r="D35">
        <v>1</v>
      </c>
      <c r="E35">
        <v>1</v>
      </c>
      <c r="F35">
        <v>1</v>
      </c>
    </row>
    <row r="36">
      <c r="A36" t="inlineStr">
        <is>
          <t>新角色</t>
        </is>
      </c>
      <c r="B36" t="inlineStr">
        <is>
          <t>招架</t>
        </is>
      </c>
      <c r="C36">
        <v>1</v>
      </c>
      <c r="D36">
        <v>1</v>
      </c>
      <c r="E36">
        <v>1</v>
      </c>
      <c r="F36">
        <v>1</v>
      </c>
    </row>
    <row r="37">
      <c r="A37" t="inlineStr">
        <is>
          <t>新角色</t>
        </is>
      </c>
      <c r="B37" t="inlineStr">
        <is>
          <t>偏斜</t>
        </is>
      </c>
      <c r="C37">
        <v>1</v>
      </c>
      <c r="D37">
        <v>1</v>
      </c>
      <c r="E37">
        <v>1</v>
      </c>
      <c r="F37">
        <v>1</v>
      </c>
    </row>
    <row r="38">
      <c r="A38" t="inlineStr">
        <is>
          <t>新角色</t>
        </is>
      </c>
      <c r="B38" t="inlineStr">
        <is>
          <t>抵抗</t>
        </is>
      </c>
      <c r="C38">
        <v>1</v>
      </c>
      <c r="D38">
        <v>1</v>
      </c>
      <c r="E38">
        <v>1</v>
      </c>
      <c r="F38">
        <v>1</v>
      </c>
    </row>
    <row r="39">
      <c r="A39" t="inlineStr">
        <is>
          <t>新角色</t>
        </is>
      </c>
      <c r="B39" t="inlineStr">
        <is>
          <t>韧性</t>
        </is>
      </c>
      <c r="C39">
        <v>1</v>
      </c>
      <c r="D39">
        <v>1</v>
      </c>
      <c r="E39">
        <v>1</v>
      </c>
      <c r="F39">
        <v>1</v>
      </c>
    </row>
    <row r="40">
      <c r="A40" t="inlineStr">
        <is>
          <t>新角色</t>
        </is>
      </c>
      <c r="B40" t="inlineStr">
        <is>
          <t>气血</t>
        </is>
      </c>
      <c r="C40">
        <v>1</v>
      </c>
      <c r="D40">
        <v>1</v>
      </c>
      <c r="E40">
        <v>1</v>
      </c>
      <c r="F40">
        <v>1</v>
      </c>
    </row>
    <row r="41">
      <c r="A41" t="inlineStr">
        <is>
          <t>新角色</t>
        </is>
      </c>
      <c r="B41" t="inlineStr">
        <is>
          <t>内力</t>
        </is>
      </c>
      <c r="C41">
        <v>1</v>
      </c>
      <c r="D41">
        <v>1</v>
      </c>
      <c r="E41">
        <v>1</v>
      </c>
      <c r="F41">
        <v>1</v>
      </c>
    </row>
    <row r="42">
      <c r="A42" t="inlineStr">
        <is>
          <t>新角色</t>
        </is>
      </c>
      <c r="B42" t="inlineStr">
        <is>
          <t>内力回复</t>
        </is>
      </c>
      <c r="C42">
        <v>1</v>
      </c>
      <c r="D42">
        <v>1</v>
      </c>
      <c r="E42">
        <v>1</v>
      </c>
      <c r="F42">
        <v>1</v>
      </c>
    </row>
    <row r="43">
      <c r="A43" t="inlineStr">
        <is>
          <t>新角色</t>
        </is>
      </c>
      <c r="B43" t="inlineStr">
        <is>
          <t>气血恢复</t>
        </is>
      </c>
      <c r="C43">
        <v>1</v>
      </c>
      <c r="D43">
        <v>1</v>
      </c>
      <c r="E43">
        <v>1</v>
      </c>
      <c r="F43">
        <v>1</v>
      </c>
    </row>
    <row r="44">
      <c r="A44" t="inlineStr">
        <is>
          <t>新角色</t>
        </is>
      </c>
      <c r="B44" t="inlineStr">
        <is>
          <t>免伤</t>
        </is>
      </c>
      <c r="C44">
        <v>1</v>
      </c>
      <c r="D44">
        <v>1</v>
      </c>
      <c r="E44">
        <v>1</v>
      </c>
      <c r="F44">
        <v>1</v>
      </c>
    </row>
    <row r="45">
      <c r="A45" t="inlineStr">
        <is>
          <t>新角色</t>
        </is>
      </c>
      <c r="B45" t="inlineStr">
        <is>
          <t>招架率</t>
        </is>
      </c>
      <c r="C45">
        <v>1</v>
      </c>
      <c r="D45">
        <v>1</v>
      </c>
      <c r="E45">
        <v>1</v>
      </c>
      <c r="F45">
        <v>1</v>
      </c>
    </row>
    <row r="46">
      <c r="A46" t="inlineStr">
        <is>
          <t>新角色</t>
        </is>
      </c>
      <c r="B46" t="inlineStr">
        <is>
          <t>偏斜率</t>
        </is>
      </c>
      <c r="C46">
        <v>1</v>
      </c>
      <c r="D46">
        <v>1</v>
      </c>
      <c r="E46">
        <v>1</v>
      </c>
      <c r="F46">
        <v>1</v>
      </c>
    </row>
    <row r="47">
      <c r="A47" t="inlineStr">
        <is>
          <t>新角色</t>
        </is>
      </c>
      <c r="B47" t="inlineStr">
        <is>
          <t>抵抗效果</t>
        </is>
      </c>
      <c r="C47">
        <v>1</v>
      </c>
      <c r="D47">
        <v>1</v>
      </c>
      <c r="E47">
        <v>1</v>
      </c>
      <c r="F47">
        <v>1</v>
      </c>
    </row>
    <row r="48">
      <c r="A48" t="inlineStr">
        <is>
          <t>新角色</t>
        </is>
      </c>
      <c r="B48" t="inlineStr">
        <is>
          <t>免伤率</t>
        </is>
      </c>
      <c r="C48">
        <v>1</v>
      </c>
      <c r="D48">
        <v>1</v>
      </c>
      <c r="E48">
        <v>1</v>
      </c>
      <c r="F48">
        <v>1</v>
      </c>
    </row>
    <row r="49">
      <c r="A49" t="inlineStr">
        <is>
          <t>新角色</t>
        </is>
      </c>
      <c r="B49" t="inlineStr">
        <is>
          <t>防御免伤率</t>
        </is>
      </c>
      <c r="C49">
        <v>1</v>
      </c>
      <c r="D49">
        <v>1</v>
      </c>
      <c r="E49">
        <v>1</v>
      </c>
      <c r="F49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装备方案</t>
        </is>
      </c>
      <c r="B1" t="inlineStr">
        <is>
          <t>属性名</t>
        </is>
      </c>
      <c r="C1" t="inlineStr">
        <is>
          <t>武器</t>
        </is>
      </c>
      <c r="D1" t="inlineStr">
        <is>
          <t>护甲</t>
        </is>
      </c>
      <c r="E1" t="inlineStr">
        <is>
          <t>护腰</t>
        </is>
      </c>
      <c r="F1" t="inlineStr">
        <is>
          <t>护腕</t>
        </is>
      </c>
      <c r="G1" t="inlineStr">
        <is>
          <t>戒指</t>
        </is>
      </c>
      <c r="H1" t="inlineStr">
        <is>
          <t>吊坠</t>
        </is>
      </c>
      <c r="I1" t="inlineStr">
        <is>
          <t>装备合计</t>
        </is>
      </c>
    </row>
    <row r="2">
      <c r="A2" t="inlineStr">
        <is>
          <t>标准测试装</t>
        </is>
      </c>
      <c r="B2" t="inlineStr">
        <is>
          <t>攻击</t>
        </is>
      </c>
      <c r="C2">
        <v>1000</v>
      </c>
      <c r="D2"/>
      <c r="E2"/>
      <c r="F2"/>
      <c r="G2"/>
      <c r="H2"/>
      <c r="I2">
        <f>SUM(C2:H2)</f>
      </c>
    </row>
    <row r="3">
      <c r="A3" t="inlineStr">
        <is>
          <t>标准测试装</t>
        </is>
      </c>
      <c r="B3" t="inlineStr">
        <is>
          <t>防御</t>
        </is>
      </c>
      <c r="C3"/>
      <c r="D3">
        <v>1000</v>
      </c>
      <c r="E3">
        <v>500</v>
      </c>
      <c r="F3"/>
      <c r="G3"/>
      <c r="H3">
        <v>500</v>
      </c>
      <c r="I3">
        <f>SUM(C3:H3)</f>
      </c>
    </row>
    <row r="4">
      <c r="A4" t="inlineStr">
        <is>
          <t>标准测试装</t>
        </is>
      </c>
      <c r="B4" t="inlineStr">
        <is>
          <t>速度</t>
        </is>
      </c>
      <c r="C4"/>
      <c r="D4"/>
      <c r="E4">
        <v>150</v>
      </c>
      <c r="F4"/>
      <c r="G4">
        <v>150</v>
      </c>
      <c r="H4"/>
      <c r="I4">
        <f>SUM(C4:H4)</f>
      </c>
    </row>
    <row r="5">
      <c r="A5" t="inlineStr">
        <is>
          <t>标准测试装</t>
        </is>
      </c>
      <c r="B5" t="inlineStr">
        <is>
          <t>命中</t>
        </is>
      </c>
      <c r="C5">
        <v>250</v>
      </c>
      <c r="D5"/>
      <c r="E5"/>
      <c r="F5">
        <v>150</v>
      </c>
      <c r="G5">
        <v>150</v>
      </c>
      <c r="H5"/>
      <c r="I5">
        <f>SUM(C5:H5)</f>
      </c>
    </row>
    <row r="6">
      <c r="A6" t="inlineStr">
        <is>
          <t>标准测试装</t>
        </is>
      </c>
      <c r="B6" t="inlineStr">
        <is>
          <t>招架</t>
        </is>
      </c>
      <c r="C6"/>
      <c r="D6"/>
      <c r="E6"/>
      <c r="F6">
        <v>150</v>
      </c>
      <c r="G6"/>
      <c r="H6"/>
      <c r="I6">
        <f>SUM(C6:H6)</f>
      </c>
    </row>
    <row r="7">
      <c r="A7" t="inlineStr">
        <is>
          <t>标准测试装</t>
        </is>
      </c>
      <c r="B7" t="inlineStr">
        <is>
          <t>偏斜</t>
        </is>
      </c>
      <c r="C7"/>
      <c r="D7"/>
      <c r="E7"/>
      <c r="F7"/>
      <c r="G7"/>
      <c r="H7">
        <v>150</v>
      </c>
      <c r="I7">
        <f>SUM(C7:H7)</f>
      </c>
    </row>
    <row r="8">
      <c r="A8" t="inlineStr">
        <is>
          <t>标准测试装</t>
        </is>
      </c>
      <c r="B8" t="inlineStr">
        <is>
          <t>气血</t>
        </is>
      </c>
      <c r="C8"/>
      <c r="D8">
        <v>5000</v>
      </c>
      <c r="E8"/>
      <c r="F8"/>
      <c r="G8"/>
      <c r="H8"/>
      <c r="I8">
        <f>SUM(C8:H8)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测试ID</t>
        </is>
      </c>
      <c r="B1" t="inlineStr">
        <is>
          <t>角色</t>
        </is>
      </c>
      <c r="C1" t="inlineStr">
        <is>
          <t>装备方案</t>
        </is>
      </c>
      <c r="D1" t="inlineStr">
        <is>
          <t>等级</t>
        </is>
      </c>
      <c r="E1" t="inlineStr">
        <is>
          <t>备注</t>
        </is>
      </c>
    </row>
    <row r="2">
      <c r="A2" t="inlineStr">
        <is>
          <t>T001</t>
        </is>
      </c>
      <c r="B2" t="inlineStr">
        <is>
          <t>青槐</t>
        </is>
      </c>
      <c r="C2" t="inlineStr">
        <is>
          <t>标准测试装</t>
        </is>
      </c>
      <c r="D2">
        <v>100</v>
      </c>
      <c r="E2" t="inlineStr">
        <is>
          <t>基准</t>
        </is>
      </c>
    </row>
    <row r="3">
      <c r="A3" t="inlineStr">
        <is>
          <t>T002</t>
        </is>
      </c>
      <c r="B3" t="inlineStr">
        <is>
          <t>新角色</t>
        </is>
      </c>
      <c r="C3" t="inlineStr">
        <is>
          <t>标准测试装</t>
        </is>
      </c>
      <c r="D3">
        <v>100</v>
      </c>
      <c r="E3" t="inlineStr">
        <is>
          <t>修改系数看变化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X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测试ID</t>
        </is>
      </c>
      <c r="B1" t="inlineStr">
        <is>
          <t>角色</t>
        </is>
      </c>
      <c r="C1" t="inlineStr">
        <is>
          <t>装备方案</t>
        </is>
      </c>
      <c r="D1" t="inlineStr">
        <is>
          <t>臂力</t>
        </is>
      </c>
      <c r="E1" t="inlineStr">
        <is>
          <t>技巧</t>
        </is>
      </c>
      <c r="F1" t="inlineStr">
        <is>
          <t>根骨</t>
        </is>
      </c>
      <c r="G1" t="inlineStr">
        <is>
          <t>内息</t>
        </is>
      </c>
      <c r="H1" t="inlineStr">
        <is>
          <t>身法</t>
        </is>
      </c>
      <c r="I1" t="inlineStr">
        <is>
          <t>定力</t>
        </is>
      </c>
      <c r="J1" t="inlineStr">
        <is>
          <t>攻击</t>
        </is>
      </c>
      <c r="K1" t="inlineStr">
        <is>
          <t>防御</t>
        </is>
      </c>
      <c r="L1" t="inlineStr">
        <is>
          <t>速度</t>
        </is>
      </c>
      <c r="M1" t="inlineStr">
        <is>
          <t>命中</t>
        </is>
      </c>
      <c r="N1" t="inlineStr">
        <is>
          <t>招架</t>
        </is>
      </c>
      <c r="O1" t="inlineStr">
        <is>
          <t>偏斜</t>
        </is>
      </c>
      <c r="P1" t="inlineStr">
        <is>
          <t>抵抗</t>
        </is>
      </c>
      <c r="Q1" t="inlineStr">
        <is>
          <t>韧性</t>
        </is>
      </c>
      <c r="R1" t="inlineStr">
        <is>
          <t>气血</t>
        </is>
      </c>
      <c r="S1" t="inlineStr">
        <is>
          <t>内力</t>
        </is>
      </c>
      <c r="T1" t="inlineStr">
        <is>
          <t>内力回复</t>
        </is>
      </c>
      <c r="U1" t="inlineStr">
        <is>
          <t>气血恢复</t>
        </is>
      </c>
      <c r="V1" t="inlineStr">
        <is>
          <t>招架率</t>
        </is>
      </c>
      <c r="W1" t="inlineStr">
        <is>
          <t>偏斜率</t>
        </is>
      </c>
      <c r="X1" t="inlineStr">
        <is>
          <t>防御免伤率</t>
        </is>
      </c>
    </row>
    <row r="2">
      <c r="A2">
        <f>IF(TestCases!A2="","",TestCases!A2)</f>
      </c>
      <c r="B2">
        <f>IF($A2="","",TestCases!B2)</f>
      </c>
      <c r="C2">
        <f>IF($A2="","",TestCases!C2)</f>
      </c>
      <c r="D2">
        <f>IF($A2="","",SUMIFS(StandardParams!$C:$C,StandardParams!$B:$B,"臂力")*IFERROR(SUMIFS(Coefficients!$C:$C,Coefficients!$A:$A,$B2,Coefficients!$B:$B,"臂力"),1)+SUMIFS(StandardParams!$D:$D,StandardParams!$B:$B,"臂力")*IFERROR(SUMIFS(Coefficients!$D:$D,Coefficients!$A:$A,$B2,Coefficients!$B:$B,"臂力"),1)*SUMIFS(TestCases!$D:$D,TestCases!$A:$A,$A2)*SUMIFS(StandardParams!$E:$E,StandardParams!$B:$B,"臂力")*IFERROR(SUMIFS(Coefficients!$E:$E,Coefficients!$A:$A,$B2,Coefficients!$B:$B,"臂力"),1)+SUMIFS(StandardParams!$F:$F,StandardParams!$B:$B,"臂力")*IFERROR(SUMIFS(Coefficients!$F:$F,Coefficients!$A:$A,$B2,Coefficients!$B:$B,"臂力"),1))</f>
      </c>
      <c r="E2">
        <f>IF($A2="","",SUMIFS(StandardParams!$C:$C,StandardParams!$B:$B,"技巧")*IFERROR(SUMIFS(Coefficients!$C:$C,Coefficients!$A:$A,$B2,Coefficients!$B:$B,"技巧"),1)+SUMIFS(StandardParams!$D:$D,StandardParams!$B:$B,"技巧")*IFERROR(SUMIFS(Coefficients!$D:$D,Coefficients!$A:$A,$B2,Coefficients!$B:$B,"技巧"),1)*SUMIFS(TestCases!$D:$D,TestCases!$A:$A,$A2)*SUMIFS(StandardParams!$E:$E,StandardParams!$B:$B,"技巧")*IFERROR(SUMIFS(Coefficients!$E:$E,Coefficients!$A:$A,$B2,Coefficients!$B:$B,"技巧"),1)+SUMIFS(StandardParams!$F:$F,StandardParams!$B:$B,"技巧")*IFERROR(SUMIFS(Coefficients!$F:$F,Coefficients!$A:$A,$B2,Coefficients!$B:$B,"技巧"),1))</f>
      </c>
      <c r="F2">
        <f>IF($A2="","",SUMIFS(StandardParams!$C:$C,StandardParams!$B:$B,"根骨")*IFERROR(SUMIFS(Coefficients!$C:$C,Coefficients!$A:$A,$B2,Coefficients!$B:$B,"根骨"),1)+SUMIFS(StandardParams!$D:$D,StandardParams!$B:$B,"根骨")*IFERROR(SUMIFS(Coefficients!$D:$D,Coefficients!$A:$A,$B2,Coefficients!$B:$B,"根骨"),1)*SUMIFS(TestCases!$D:$D,TestCases!$A:$A,$A2)*SUMIFS(StandardParams!$E:$E,StandardParams!$B:$B,"根骨")*IFERROR(SUMIFS(Coefficients!$E:$E,Coefficients!$A:$A,$B2,Coefficients!$B:$B,"根骨"),1)+SUMIFS(StandardParams!$F:$F,StandardParams!$B:$B,"根骨")*IFERROR(SUMIFS(Coefficients!$F:$F,Coefficients!$A:$A,$B2,Coefficients!$B:$B,"根骨"),1))</f>
      </c>
      <c r="G2">
        <f>IF($A2="","",SUMIFS(StandardParams!$C:$C,StandardParams!$B:$B,"内息")*IFERROR(SUMIFS(Coefficients!$C:$C,Coefficients!$A:$A,$B2,Coefficients!$B:$B,"内息"),1)+SUMIFS(StandardParams!$D:$D,StandardParams!$B:$B,"内息")*IFERROR(SUMIFS(Coefficients!$D:$D,Coefficients!$A:$A,$B2,Coefficients!$B:$B,"内息"),1)*SUMIFS(TestCases!$D:$D,TestCases!$A:$A,$A2)*SUMIFS(StandardParams!$E:$E,StandardParams!$B:$B,"内息")*IFERROR(SUMIFS(Coefficients!$E:$E,Coefficients!$A:$A,$B2,Coefficients!$B:$B,"内息"),1)+SUMIFS(StandardParams!$F:$F,StandardParams!$B:$B,"内息")*IFERROR(SUMIFS(Coefficients!$F:$F,Coefficients!$A:$A,$B2,Coefficients!$B:$B,"内息"),1))</f>
      </c>
      <c r="H2">
        <f>IF($A2="","",SUMIFS(StandardParams!$C:$C,StandardParams!$B:$B,"身法")*IFERROR(SUMIFS(Coefficients!$C:$C,Coefficients!$A:$A,$B2,Coefficients!$B:$B,"身法"),1)+SUMIFS(StandardParams!$D:$D,StandardParams!$B:$B,"身法")*IFERROR(SUMIFS(Coefficients!$D:$D,Coefficients!$A:$A,$B2,Coefficients!$B:$B,"身法"),1)*SUMIFS(TestCases!$D:$D,TestCases!$A:$A,$A2)*SUMIFS(StandardParams!$E:$E,StandardParams!$B:$B,"身法")*IFERROR(SUMIFS(Coefficients!$E:$E,Coefficients!$A:$A,$B2,Coefficients!$B:$B,"身法"),1)+SUMIFS(StandardParams!$F:$F,StandardParams!$B:$B,"身法")*IFERROR(SUMIFS(Coefficients!$F:$F,Coefficients!$A:$A,$B2,Coefficients!$B:$B,"身法"),1))</f>
      </c>
      <c r="I2">
        <f>IF($A2="","",SUMIFS(StandardParams!$C:$C,StandardParams!$B:$B,"定力")*IFERROR(SUMIFS(Coefficients!$C:$C,Coefficients!$A:$A,$B2,Coefficients!$B:$B,"定力"),1)+SUMIFS(StandardParams!$D:$D,StandardParams!$B:$B,"定力")*IFERROR(SUMIFS(Coefficients!$D:$D,Coefficients!$A:$A,$B2,Coefficients!$B:$B,"定力"),1)*SUMIFS(TestCases!$D:$D,TestCases!$A:$A,$A2)*SUMIFS(StandardParams!$E:$E,StandardParams!$B:$B,"定力")*IFERROR(SUMIFS(Coefficients!$E:$E,Coefficients!$A:$A,$B2,Coefficients!$B:$B,"定力"),1)+SUMIFS(StandardParams!$F:$F,StandardParams!$B:$B,"定力")*IFERROR(SUMIFS(Coefficients!$F:$F,Coefficients!$A:$A,$B2,Coefficients!$B:$B,"定力"),1))</f>
      </c>
      <c r="J2">
        <f>IF($A2="","",SUMIFS(StandardParams!$C:$C,StandardParams!$B:$B,"攻击")*IFERROR(SUMIFS(Coefficients!$C:$C,Coefficients!$A:$A,$B2,Coefficients!$B:$B,"攻击"),1)+SUMIFS(StandardParams!$D:$D,StandardParams!$B:$B,"攻击")*IFERROR(SUMIFS(Coefficients!$D:$D,Coefficients!$A:$A,$B2,Coefficients!$B:$B,"攻击"),1)*SUMIFS(TestCases!$D:$D,TestCases!$A:$A,$A2)+SUMIFS(StandardParams!$F:$F,StandardParams!$B:$B,"攻击")*IFERROR(SUMIFS(Coefficients!$F:$F,Coefficients!$A:$A,$B2,Coefficients!$B:$B,"攻击"),1)+SUMIFS(EquipPlans!$I:$I,EquipPlans!$A:$A,$C2,EquipPlans!$B:$B,"攻击")+D2*4)</f>
      </c>
      <c r="K2">
        <f>IF($A2="","",SUMIFS(StandardParams!$C:$C,StandardParams!$B:$B,"防御")*IFERROR(SUMIFS(Coefficients!$C:$C,Coefficients!$A:$A,$B2,Coefficients!$B:$B,"防御"),1)+SUMIFS(StandardParams!$D:$D,StandardParams!$B:$B,"防御")*IFERROR(SUMIFS(Coefficients!$D:$D,Coefficients!$A:$A,$B2,Coefficients!$B:$B,"防御"),1)*SUMIFS(TestCases!$D:$D,TestCases!$A:$A,$A2)+SUMIFS(StandardParams!$F:$F,StandardParams!$B:$B,"防御")*IFERROR(SUMIFS(Coefficients!$F:$F,Coefficients!$A:$A,$B2,Coefficients!$B:$B,"防御"),1)+SUMIFS(EquipPlans!$I:$I,EquipPlans!$A:$A,$C2,EquipPlans!$B:$B,"防御"))</f>
      </c>
      <c r="L2">
        <f>IF($A2="","",SUMIFS(StandardParams!$C:$C,StandardParams!$B:$B,"速度")*IFERROR(SUMIFS(Coefficients!$C:$C,Coefficients!$A:$A,$B2,Coefficients!$B:$B,"速度"),1)+SUMIFS(StandardParams!$D:$D,StandardParams!$B:$B,"速度")*IFERROR(SUMIFS(Coefficients!$D:$D,Coefficients!$A:$A,$B2,Coefficients!$B:$B,"速度"),1)*SUMIFS(TestCases!$D:$D,TestCases!$A:$A,$A2)+SUMIFS(StandardParams!$F:$F,StandardParams!$B:$B,"速度")*IFERROR(SUMIFS(Coefficients!$F:$F,Coefficients!$A:$A,$B2,Coefficients!$B:$B,"速度"),1)+SUMIFS(EquipPlans!$I:$I,EquipPlans!$A:$A,$C2,EquipPlans!$B:$B,"速度")+H2*2)</f>
      </c>
      <c r="M2">
        <f>IF($A2="","",SUMIFS(StandardParams!$C:$C,StandardParams!$B:$B,"命中")*IFERROR(SUMIFS(Coefficients!$C:$C,Coefficients!$A:$A,$B2,Coefficients!$B:$B,"命中"),1)+SUMIFS(StandardParams!$D:$D,StandardParams!$B:$B,"命中")*IFERROR(SUMIFS(Coefficients!$D:$D,Coefficients!$A:$A,$B2,Coefficients!$B:$B,"命中"),1)*SUMIFS(TestCases!$D:$D,TestCases!$A:$A,$A2)+SUMIFS(StandardParams!$F:$F,StandardParams!$B:$B,"命中")*IFERROR(SUMIFS(Coefficients!$F:$F,Coefficients!$A:$A,$B2,Coefficients!$B:$B,"命中"),1)+SUMIFS(EquipPlans!$I:$I,EquipPlans!$A:$A,$C2,EquipPlans!$B:$B,"命中")+E2*2)</f>
      </c>
      <c r="N2">
        <f>IF($A2="","",SUMIFS(StandardParams!$C:$C,StandardParams!$B:$B,"招架")*IFERROR(SUMIFS(Coefficients!$C:$C,Coefficients!$A:$A,$B2,Coefficients!$B:$B,"招架"),1)+SUMIFS(StandardParams!$D:$D,StandardParams!$B:$B,"招架")*IFERROR(SUMIFS(Coefficients!$D:$D,Coefficients!$A:$A,$B2,Coefficients!$B:$B,"招架"),1)*SUMIFS(TestCases!$D:$D,TestCases!$A:$A,$A2)+SUMIFS(StandardParams!$F:$F,StandardParams!$B:$B,"招架")*IFERROR(SUMIFS(Coefficients!$F:$F,Coefficients!$A:$A,$B2,Coefficients!$B:$B,"招架"),1)+SUMIFS(EquipPlans!$I:$I,EquipPlans!$A:$A,$C2,EquipPlans!$B:$B,"招架")+E2*2)</f>
      </c>
      <c r="O2">
        <f>IF($A2="","",SUMIFS(StandardParams!$C:$C,StandardParams!$B:$B,"偏斜")*IFERROR(SUMIFS(Coefficients!$C:$C,Coefficients!$A:$A,$B2,Coefficients!$B:$B,"偏斜"),1)+SUMIFS(StandardParams!$D:$D,StandardParams!$B:$B,"偏斜")*IFERROR(SUMIFS(Coefficients!$D:$D,Coefficients!$A:$A,$B2,Coefficients!$B:$B,"偏斜"),1)*SUMIFS(TestCases!$D:$D,TestCases!$A:$A,$A2)+SUMIFS(StandardParams!$F:$F,StandardParams!$B:$B,"偏斜")*IFERROR(SUMIFS(Coefficients!$F:$F,Coefficients!$A:$A,$B2,Coefficients!$B:$B,"偏斜"),1)+SUMIFS(EquipPlans!$I:$I,EquipPlans!$A:$A,$C2,EquipPlans!$B:$B,"偏斜")+H2*2)</f>
      </c>
      <c r="P2">
        <f>IF($A2="","",SUMIFS(StandardParams!$C:$C,StandardParams!$B:$B,"抵抗")*IFERROR(SUMIFS(Coefficients!$C:$C,Coefficients!$A:$A,$B2,Coefficients!$B:$B,"抵抗"),1)+SUMIFS(StandardParams!$D:$D,StandardParams!$B:$B,"抵抗")*IFERROR(SUMIFS(Coefficients!$D:$D,Coefficients!$A:$A,$B2,Coefficients!$B:$B,"抵抗"),1)*SUMIFS(TestCases!$D:$D,TestCases!$A:$A,$A2)+SUMIFS(StandardParams!$F:$F,StandardParams!$B:$B,"抵抗")*IFERROR(SUMIFS(Coefficients!$F:$F,Coefficients!$A:$A,$B2,Coefficients!$B:$B,"抵抗"),1)+SUMIFS(EquipPlans!$I:$I,EquipPlans!$A:$A,$C2,EquipPlans!$B:$B,"抵抗")+I2*2.5)</f>
      </c>
      <c r="Q2">
        <f>IF($A2="","",SUMIFS(StandardParams!$C:$C,StandardParams!$B:$B,"韧性")*IFERROR(SUMIFS(Coefficients!$C:$C,Coefficients!$A:$A,$B2,Coefficients!$B:$B,"韧性"),1)+SUMIFS(StandardParams!$D:$D,StandardParams!$B:$B,"韧性")*IFERROR(SUMIFS(Coefficients!$D:$D,Coefficients!$A:$A,$B2,Coefficients!$B:$B,"韧性"),1)*SUMIFS(TestCases!$D:$D,TestCases!$A:$A,$A2)+SUMIFS(StandardParams!$F:$F,StandardParams!$B:$B,"韧性")*IFERROR(SUMIFS(Coefficients!$F:$F,Coefficients!$A:$A,$B2,Coefficients!$B:$B,"韧性"),1)+SUMIFS(EquipPlans!$I:$I,EquipPlans!$A:$A,$C2,EquipPlans!$B:$B,"韧性")+F2)</f>
      </c>
      <c r="R2">
        <f>IF($A2="","",SUMIFS(StandardParams!$C:$C,StandardParams!$B:$B,"气血")*IFERROR(SUMIFS(Coefficients!$C:$C,Coefficients!$A:$A,$B2,Coefficients!$B:$B,"气血"),1)+SUMIFS(StandardParams!$D:$D,StandardParams!$B:$B,"气血")*IFERROR(SUMIFS(Coefficients!$D:$D,Coefficients!$A:$A,$B2,Coefficients!$B:$B,"气血"),1)*SUMIFS(TestCases!$D:$D,TestCases!$A:$A,$A2)+SUMIFS(StandardParams!$F:$F,StandardParams!$B:$B,"气血")*IFERROR(SUMIFS(Coefficients!$F:$F,Coefficients!$A:$A,$B2,Coefficients!$B:$B,"气血"),1)+SUMIFS(EquipPlans!$I:$I,EquipPlans!$A:$A,$C2,EquipPlans!$B:$B,"气血")+F2*20)</f>
      </c>
      <c r="S2">
        <f>IF($A2="","",SUMIFS(StandardParams!$C:$C,StandardParams!$B:$B,"内力")*IFERROR(SUMIFS(Coefficients!$C:$C,Coefficients!$A:$A,$B2,Coefficients!$B:$B,"内力"),1)+SUMIFS(StandardParams!$D:$D,StandardParams!$B:$B,"内力")*IFERROR(SUMIFS(Coefficients!$D:$D,Coefficients!$A:$A,$B2,Coefficients!$B:$B,"内力"),1)*SUMIFS(TestCases!$D:$D,TestCases!$A:$A,$A2)+SUMIFS(StandardParams!$F:$F,StandardParams!$B:$B,"内力")*IFERROR(SUMIFS(Coefficients!$F:$F,Coefficients!$A:$A,$B2,Coefficients!$B:$B,"内力"),1)+SUMIFS(EquipPlans!$I:$I,EquipPlans!$A:$A,$C2,EquipPlans!$B:$B,"内力")+G2*10)</f>
      </c>
      <c r="T2">
        <f>IF($A2="","",SUMIFS(StandardParams!$C:$C,StandardParams!$B:$B,"内力回复")*IFERROR(SUMIFS(Coefficients!$C:$C,Coefficients!$A:$A,$B2,Coefficients!$B:$B,"内力回复"),1)+SUMIFS(StandardParams!$D:$D,StandardParams!$B:$B,"内力回复")*IFERROR(SUMIFS(Coefficients!$D:$D,Coefficients!$A:$A,$B2,Coefficients!$B:$B,"内力回复"),1)*SUMIFS(TestCases!$D:$D,TestCases!$A:$A,$A2)+SUMIFS(StandardParams!$F:$F,StandardParams!$B:$B,"内力回复")*IFERROR(SUMIFS(Coefficients!$F:$F,Coefficients!$A:$A,$B2,Coefficients!$B:$B,"内力回复"),1)+SUMIFS(EquipPlans!$I:$I,EquipPlans!$A:$A,$C2,EquipPlans!$B:$B,"内力回复")+G2*0.5)</f>
      </c>
      <c r="U2">
        <f>IF($A2="","",SUMIFS(StandardParams!$C:$C,StandardParams!$B:$B,"气血恢复")*IFERROR(SUMIFS(Coefficients!$C:$C,Coefficients!$A:$A,$B2,Coefficients!$B:$B,"气血恢复"),1)+SUMIFS(StandardParams!$D:$D,StandardParams!$B:$B,"气血恢复")*IFERROR(SUMIFS(Coefficients!$D:$D,Coefficients!$A:$A,$B2,Coefficients!$B:$B,"气血恢复"),1)*SUMIFS(TestCases!$D:$D,TestCases!$A:$A,$A2)+SUMIFS(StandardParams!$F:$F,StandardParams!$B:$B,"气血恢复")*IFERROR(SUMIFS(Coefficients!$F:$F,Coefficients!$A:$A,$B2,Coefficients!$B:$B,"气血恢复"),1)+SUMIFS(EquipPlans!$I:$I,EquipPlans!$A:$A,$C2,EquipPlans!$B:$B,"气血恢复"))</f>
      </c>
      <c r="V2">
        <f>IF($A2="","",L2/(N2+L2+500))</f>
      </c>
      <c r="W2">
        <f>IF($A2="","",M2/(O2+M2+500))</f>
      </c>
      <c r="X2">
        <f>IF($A2="","",K2/(J2+K2))</f>
      </c>
    </row>
    <row r="3">
      <c r="A3">
        <f>IF(TestCases!A3="","",TestCases!A3)</f>
      </c>
      <c r="B3">
        <f>IF($A3="","",TestCases!B3)</f>
      </c>
      <c r="C3">
        <f>IF($A3="","",TestCases!C3)</f>
      </c>
      <c r="D3">
        <f>IF($A3="","",SUMIFS(StandardParams!$C:$C,StandardParams!$B:$B,"臂力")*IFERROR(SUMIFS(Coefficients!$C:$C,Coefficients!$A:$A,$B3,Coefficients!$B:$B,"臂力"),1)+SUMIFS(StandardParams!$D:$D,StandardParams!$B:$B,"臂力")*IFERROR(SUMIFS(Coefficients!$D:$D,Coefficients!$A:$A,$B3,Coefficients!$B:$B,"臂力"),1)*SUMIFS(TestCases!$D:$D,TestCases!$A:$A,$A3)*SUMIFS(StandardParams!$E:$E,StandardParams!$B:$B,"臂力")*IFERROR(SUMIFS(Coefficients!$E:$E,Coefficients!$A:$A,$B3,Coefficients!$B:$B,"臂力"),1)+SUMIFS(StandardParams!$F:$F,StandardParams!$B:$B,"臂力")*IFERROR(SUMIFS(Coefficients!$F:$F,Coefficients!$A:$A,$B3,Coefficients!$B:$B,"臂力"),1))</f>
      </c>
      <c r="E3">
        <f>IF($A3="","",SUMIFS(StandardParams!$C:$C,StandardParams!$B:$B,"技巧")*IFERROR(SUMIFS(Coefficients!$C:$C,Coefficients!$A:$A,$B3,Coefficients!$B:$B,"技巧"),1)+SUMIFS(StandardParams!$D:$D,StandardParams!$B:$B,"技巧")*IFERROR(SUMIFS(Coefficients!$D:$D,Coefficients!$A:$A,$B3,Coefficients!$B:$B,"技巧"),1)*SUMIFS(TestCases!$D:$D,TestCases!$A:$A,$A3)*SUMIFS(StandardParams!$E:$E,StandardParams!$B:$B,"技巧")*IFERROR(SUMIFS(Coefficients!$E:$E,Coefficients!$A:$A,$B3,Coefficients!$B:$B,"技巧"),1)+SUMIFS(StandardParams!$F:$F,StandardParams!$B:$B,"技巧")*IFERROR(SUMIFS(Coefficients!$F:$F,Coefficients!$A:$A,$B3,Coefficients!$B:$B,"技巧"),1))</f>
      </c>
      <c r="F3">
        <f>IF($A3="","",SUMIFS(StandardParams!$C:$C,StandardParams!$B:$B,"根骨")*IFERROR(SUMIFS(Coefficients!$C:$C,Coefficients!$A:$A,$B3,Coefficients!$B:$B,"根骨"),1)+SUMIFS(StandardParams!$D:$D,StandardParams!$B:$B,"根骨")*IFERROR(SUMIFS(Coefficients!$D:$D,Coefficients!$A:$A,$B3,Coefficients!$B:$B,"根骨"),1)*SUMIFS(TestCases!$D:$D,TestCases!$A:$A,$A3)*SUMIFS(StandardParams!$E:$E,StandardParams!$B:$B,"根骨")*IFERROR(SUMIFS(Coefficients!$E:$E,Coefficients!$A:$A,$B3,Coefficients!$B:$B,"根骨"),1)+SUMIFS(StandardParams!$F:$F,StandardParams!$B:$B,"根骨")*IFERROR(SUMIFS(Coefficients!$F:$F,Coefficients!$A:$A,$B3,Coefficients!$B:$B,"根骨"),1))</f>
      </c>
      <c r="G3">
        <f>IF($A3="","",SUMIFS(StandardParams!$C:$C,StandardParams!$B:$B,"内息")*IFERROR(SUMIFS(Coefficients!$C:$C,Coefficients!$A:$A,$B3,Coefficients!$B:$B,"内息"),1)+SUMIFS(StandardParams!$D:$D,StandardParams!$B:$B,"内息")*IFERROR(SUMIFS(Coefficients!$D:$D,Coefficients!$A:$A,$B3,Coefficients!$B:$B,"内息"),1)*SUMIFS(TestCases!$D:$D,TestCases!$A:$A,$A3)*SUMIFS(StandardParams!$E:$E,StandardParams!$B:$B,"内息")*IFERROR(SUMIFS(Coefficients!$E:$E,Coefficients!$A:$A,$B3,Coefficients!$B:$B,"内息"),1)+SUMIFS(StandardParams!$F:$F,StandardParams!$B:$B,"内息")*IFERROR(SUMIFS(Coefficients!$F:$F,Coefficients!$A:$A,$B3,Coefficients!$B:$B,"内息"),1))</f>
      </c>
      <c r="H3">
        <f>IF($A3="","",SUMIFS(StandardParams!$C:$C,StandardParams!$B:$B,"身法")*IFERROR(SUMIFS(Coefficients!$C:$C,Coefficients!$A:$A,$B3,Coefficients!$B:$B,"身法"),1)+SUMIFS(StandardParams!$D:$D,StandardParams!$B:$B,"身法")*IFERROR(SUMIFS(Coefficients!$D:$D,Coefficients!$A:$A,$B3,Coefficients!$B:$B,"身法"),1)*SUMIFS(TestCases!$D:$D,TestCases!$A:$A,$A3)*SUMIFS(StandardParams!$E:$E,StandardParams!$B:$B,"身法")*IFERROR(SUMIFS(Coefficients!$E:$E,Coefficients!$A:$A,$B3,Coefficients!$B:$B,"身法"),1)+SUMIFS(StandardParams!$F:$F,StandardParams!$B:$B,"身法")*IFERROR(SUMIFS(Coefficients!$F:$F,Coefficients!$A:$A,$B3,Coefficients!$B:$B,"身法"),1))</f>
      </c>
      <c r="I3">
        <f>IF($A3="","",SUMIFS(StandardParams!$C:$C,StandardParams!$B:$B,"定力")*IFERROR(SUMIFS(Coefficients!$C:$C,Coefficients!$A:$A,$B3,Coefficients!$B:$B,"定力"),1)+SUMIFS(StandardParams!$D:$D,StandardParams!$B:$B,"定力")*IFERROR(SUMIFS(Coefficients!$D:$D,Coefficients!$A:$A,$B3,Coefficients!$B:$B,"定力"),1)*SUMIFS(TestCases!$D:$D,TestCases!$A:$A,$A3)*SUMIFS(StandardParams!$E:$E,StandardParams!$B:$B,"定力")*IFERROR(SUMIFS(Coefficients!$E:$E,Coefficients!$A:$A,$B3,Coefficients!$B:$B,"定力"),1)+SUMIFS(StandardParams!$F:$F,StandardParams!$B:$B,"定力")*IFERROR(SUMIFS(Coefficients!$F:$F,Coefficients!$A:$A,$B3,Coefficients!$B:$B,"定力"),1))</f>
      </c>
      <c r="J3">
        <f>IF($A3="","",SUMIFS(StandardParams!$C:$C,StandardParams!$B:$B,"攻击")*IFERROR(SUMIFS(Coefficients!$C:$C,Coefficients!$A:$A,$B3,Coefficients!$B:$B,"攻击"),1)+SUMIFS(StandardParams!$D:$D,StandardParams!$B:$B,"攻击")*IFERROR(SUMIFS(Coefficients!$D:$D,Coefficients!$A:$A,$B3,Coefficients!$B:$B,"攻击"),1)*SUMIFS(TestCases!$D:$D,TestCases!$A:$A,$A3)+SUMIFS(StandardParams!$F:$F,StandardParams!$B:$B,"攻击")*IFERROR(SUMIFS(Coefficients!$F:$F,Coefficients!$A:$A,$B3,Coefficients!$B:$B,"攻击"),1)+SUMIFS(EquipPlans!$I:$I,EquipPlans!$A:$A,$C3,EquipPlans!$B:$B,"攻击")+D3*4)</f>
      </c>
      <c r="K3">
        <f>IF($A3="","",SUMIFS(StandardParams!$C:$C,StandardParams!$B:$B,"防御")*IFERROR(SUMIFS(Coefficients!$C:$C,Coefficients!$A:$A,$B3,Coefficients!$B:$B,"防御"),1)+SUMIFS(StandardParams!$D:$D,StandardParams!$B:$B,"防御")*IFERROR(SUMIFS(Coefficients!$D:$D,Coefficients!$A:$A,$B3,Coefficients!$B:$B,"防御"),1)*SUMIFS(TestCases!$D:$D,TestCases!$A:$A,$A3)+SUMIFS(StandardParams!$F:$F,StandardParams!$B:$B,"防御")*IFERROR(SUMIFS(Coefficients!$F:$F,Coefficients!$A:$A,$B3,Coefficients!$B:$B,"防御"),1)+SUMIFS(EquipPlans!$I:$I,EquipPlans!$A:$A,$C3,EquipPlans!$B:$B,"防御"))</f>
      </c>
      <c r="L3">
        <f>IF($A3="","",SUMIFS(StandardParams!$C:$C,StandardParams!$B:$B,"速度")*IFERROR(SUMIFS(Coefficients!$C:$C,Coefficients!$A:$A,$B3,Coefficients!$B:$B,"速度"),1)+SUMIFS(StandardParams!$D:$D,StandardParams!$B:$B,"速度")*IFERROR(SUMIFS(Coefficients!$D:$D,Coefficients!$A:$A,$B3,Coefficients!$B:$B,"速度"),1)*SUMIFS(TestCases!$D:$D,TestCases!$A:$A,$A3)+SUMIFS(StandardParams!$F:$F,StandardParams!$B:$B,"速度")*IFERROR(SUMIFS(Coefficients!$F:$F,Coefficients!$A:$A,$B3,Coefficients!$B:$B,"速度"),1)+SUMIFS(EquipPlans!$I:$I,EquipPlans!$A:$A,$C3,EquipPlans!$B:$B,"速度")+H3*2)</f>
      </c>
      <c r="M3">
        <f>IF($A3="","",SUMIFS(StandardParams!$C:$C,StandardParams!$B:$B,"命中")*IFERROR(SUMIFS(Coefficients!$C:$C,Coefficients!$A:$A,$B3,Coefficients!$B:$B,"命中"),1)+SUMIFS(StandardParams!$D:$D,StandardParams!$B:$B,"命中")*IFERROR(SUMIFS(Coefficients!$D:$D,Coefficients!$A:$A,$B3,Coefficients!$B:$B,"命中"),1)*SUMIFS(TestCases!$D:$D,TestCases!$A:$A,$A3)+SUMIFS(StandardParams!$F:$F,StandardParams!$B:$B,"命中")*IFERROR(SUMIFS(Coefficients!$F:$F,Coefficients!$A:$A,$B3,Coefficients!$B:$B,"命中"),1)+SUMIFS(EquipPlans!$I:$I,EquipPlans!$A:$A,$C3,EquipPlans!$B:$B,"命中")+E3*2)</f>
      </c>
      <c r="N3">
        <f>IF($A3="","",SUMIFS(StandardParams!$C:$C,StandardParams!$B:$B,"招架")*IFERROR(SUMIFS(Coefficients!$C:$C,Coefficients!$A:$A,$B3,Coefficients!$B:$B,"招架"),1)+SUMIFS(StandardParams!$D:$D,StandardParams!$B:$B,"招架")*IFERROR(SUMIFS(Coefficients!$D:$D,Coefficients!$A:$A,$B3,Coefficients!$B:$B,"招架"),1)*SUMIFS(TestCases!$D:$D,TestCases!$A:$A,$A3)+SUMIFS(StandardParams!$F:$F,StandardParams!$B:$B,"招架")*IFERROR(SUMIFS(Coefficients!$F:$F,Coefficients!$A:$A,$B3,Coefficients!$B:$B,"招架"),1)+SUMIFS(EquipPlans!$I:$I,EquipPlans!$A:$A,$C3,EquipPlans!$B:$B,"招架")+E3*2)</f>
      </c>
      <c r="O3">
        <f>IF($A3="","",SUMIFS(StandardParams!$C:$C,StandardParams!$B:$B,"偏斜")*IFERROR(SUMIFS(Coefficients!$C:$C,Coefficients!$A:$A,$B3,Coefficients!$B:$B,"偏斜"),1)+SUMIFS(StandardParams!$D:$D,StandardParams!$B:$B,"偏斜")*IFERROR(SUMIFS(Coefficients!$D:$D,Coefficients!$A:$A,$B3,Coefficients!$B:$B,"偏斜"),1)*SUMIFS(TestCases!$D:$D,TestCases!$A:$A,$A3)+SUMIFS(StandardParams!$F:$F,StandardParams!$B:$B,"偏斜")*IFERROR(SUMIFS(Coefficients!$F:$F,Coefficients!$A:$A,$B3,Coefficients!$B:$B,"偏斜"),1)+SUMIFS(EquipPlans!$I:$I,EquipPlans!$A:$A,$C3,EquipPlans!$B:$B,"偏斜")+H3*2)</f>
      </c>
      <c r="P3">
        <f>IF($A3="","",SUMIFS(StandardParams!$C:$C,StandardParams!$B:$B,"抵抗")*IFERROR(SUMIFS(Coefficients!$C:$C,Coefficients!$A:$A,$B3,Coefficients!$B:$B,"抵抗"),1)+SUMIFS(StandardParams!$D:$D,StandardParams!$B:$B,"抵抗")*IFERROR(SUMIFS(Coefficients!$D:$D,Coefficients!$A:$A,$B3,Coefficients!$B:$B,"抵抗"),1)*SUMIFS(TestCases!$D:$D,TestCases!$A:$A,$A3)+SUMIFS(StandardParams!$F:$F,StandardParams!$B:$B,"抵抗")*IFERROR(SUMIFS(Coefficients!$F:$F,Coefficients!$A:$A,$B3,Coefficients!$B:$B,"抵抗"),1)+SUMIFS(EquipPlans!$I:$I,EquipPlans!$A:$A,$C3,EquipPlans!$B:$B,"抵抗")+I3*2.5)</f>
      </c>
      <c r="Q3">
        <f>IF($A3="","",SUMIFS(StandardParams!$C:$C,StandardParams!$B:$B,"韧性")*IFERROR(SUMIFS(Coefficients!$C:$C,Coefficients!$A:$A,$B3,Coefficients!$B:$B,"韧性"),1)+SUMIFS(StandardParams!$D:$D,StandardParams!$B:$B,"韧性")*IFERROR(SUMIFS(Coefficients!$D:$D,Coefficients!$A:$A,$B3,Coefficients!$B:$B,"韧性"),1)*SUMIFS(TestCases!$D:$D,TestCases!$A:$A,$A3)+SUMIFS(StandardParams!$F:$F,StandardParams!$B:$B,"韧性")*IFERROR(SUMIFS(Coefficients!$F:$F,Coefficients!$A:$A,$B3,Coefficients!$B:$B,"韧性"),1)+SUMIFS(EquipPlans!$I:$I,EquipPlans!$A:$A,$C3,EquipPlans!$B:$B,"韧性")+F3)</f>
      </c>
      <c r="R3">
        <f>IF($A3="","",SUMIFS(StandardParams!$C:$C,StandardParams!$B:$B,"气血")*IFERROR(SUMIFS(Coefficients!$C:$C,Coefficients!$A:$A,$B3,Coefficients!$B:$B,"气血"),1)+SUMIFS(StandardParams!$D:$D,StandardParams!$B:$B,"气血")*IFERROR(SUMIFS(Coefficients!$D:$D,Coefficients!$A:$A,$B3,Coefficients!$B:$B,"气血"),1)*SUMIFS(TestCases!$D:$D,TestCases!$A:$A,$A3)+SUMIFS(StandardParams!$F:$F,StandardParams!$B:$B,"气血")*IFERROR(SUMIFS(Coefficients!$F:$F,Coefficients!$A:$A,$B3,Coefficients!$B:$B,"气血"),1)+SUMIFS(EquipPlans!$I:$I,EquipPlans!$A:$A,$C3,EquipPlans!$B:$B,"气血")+F3*20)</f>
      </c>
      <c r="S3">
        <f>IF($A3="","",SUMIFS(StandardParams!$C:$C,StandardParams!$B:$B,"内力")*IFERROR(SUMIFS(Coefficients!$C:$C,Coefficients!$A:$A,$B3,Coefficients!$B:$B,"内力"),1)+SUMIFS(StandardParams!$D:$D,StandardParams!$B:$B,"内力")*IFERROR(SUMIFS(Coefficients!$D:$D,Coefficients!$A:$A,$B3,Coefficients!$B:$B,"内力"),1)*SUMIFS(TestCases!$D:$D,TestCases!$A:$A,$A3)+SUMIFS(StandardParams!$F:$F,StandardParams!$B:$B,"内力")*IFERROR(SUMIFS(Coefficients!$F:$F,Coefficients!$A:$A,$B3,Coefficients!$B:$B,"内力"),1)+SUMIFS(EquipPlans!$I:$I,EquipPlans!$A:$A,$C3,EquipPlans!$B:$B,"内力")+G3*10)</f>
      </c>
      <c r="T3">
        <f>IF($A3="","",SUMIFS(StandardParams!$C:$C,StandardParams!$B:$B,"内力回复")*IFERROR(SUMIFS(Coefficients!$C:$C,Coefficients!$A:$A,$B3,Coefficients!$B:$B,"内力回复"),1)+SUMIFS(StandardParams!$D:$D,StandardParams!$B:$B,"内力回复")*IFERROR(SUMIFS(Coefficients!$D:$D,Coefficients!$A:$A,$B3,Coefficients!$B:$B,"内力回复"),1)*SUMIFS(TestCases!$D:$D,TestCases!$A:$A,$A3)+SUMIFS(StandardParams!$F:$F,StandardParams!$B:$B,"内力回复")*IFERROR(SUMIFS(Coefficients!$F:$F,Coefficients!$A:$A,$B3,Coefficients!$B:$B,"内力回复"),1)+SUMIFS(EquipPlans!$I:$I,EquipPlans!$A:$A,$C3,EquipPlans!$B:$B,"内力回复")+G3*0.5)</f>
      </c>
      <c r="U3">
        <f>IF($A3="","",SUMIFS(StandardParams!$C:$C,StandardParams!$B:$B,"气血恢复")*IFERROR(SUMIFS(Coefficients!$C:$C,Coefficients!$A:$A,$B3,Coefficients!$B:$B,"气血恢复"),1)+SUMIFS(StandardParams!$D:$D,StandardParams!$B:$B,"气血恢复")*IFERROR(SUMIFS(Coefficients!$D:$D,Coefficients!$A:$A,$B3,Coefficients!$B:$B,"气血恢复"),1)*SUMIFS(TestCases!$D:$D,TestCases!$A:$A,$A3)+SUMIFS(StandardParams!$F:$F,StandardParams!$B:$B,"气血恢复")*IFERROR(SUMIFS(Coefficients!$F:$F,Coefficients!$A:$A,$B3,Coefficients!$B:$B,"气血恢复"),1)+SUMIFS(EquipPlans!$I:$I,EquipPlans!$A:$A,$C3,EquipPlans!$B:$B,"气血恢复"))</f>
      </c>
      <c r="V3">
        <f>IF($A3="","",L3/(N3+L3+500))</f>
      </c>
      <c r="W3">
        <f>IF($A3="","",M3/(O3+M3+500))</f>
      </c>
      <c r="X3">
        <f>IF($A3="","",K3/(J3+K3))</f>
      </c>
    </row>
    <row r="4">
      <c r="A4">
        <f>IF(TestCases!A4="","",TestCases!A4)</f>
      </c>
      <c r="B4">
        <f>IF($A4="","",TestCases!B4)</f>
      </c>
      <c r="C4">
        <f>IF($A4="","",TestCases!C4)</f>
      </c>
      <c r="D4">
        <f>IF($A4="","",SUMIFS(StandardParams!$C:$C,StandardParams!$B:$B,"臂力")*IFERROR(SUMIFS(Coefficients!$C:$C,Coefficients!$A:$A,$B4,Coefficients!$B:$B,"臂力"),1)+SUMIFS(StandardParams!$D:$D,StandardParams!$B:$B,"臂力")*IFERROR(SUMIFS(Coefficients!$D:$D,Coefficients!$A:$A,$B4,Coefficients!$B:$B,"臂力"),1)*SUMIFS(TestCases!$D:$D,TestCases!$A:$A,$A4)*SUMIFS(StandardParams!$E:$E,StandardParams!$B:$B,"臂力")*IFERROR(SUMIFS(Coefficients!$E:$E,Coefficients!$A:$A,$B4,Coefficients!$B:$B,"臂力"),1)+SUMIFS(StandardParams!$F:$F,StandardParams!$B:$B,"臂力")*IFERROR(SUMIFS(Coefficients!$F:$F,Coefficients!$A:$A,$B4,Coefficients!$B:$B,"臂力"),1))</f>
      </c>
      <c r="E4">
        <f>IF($A4="","",SUMIFS(StandardParams!$C:$C,StandardParams!$B:$B,"技巧")*IFERROR(SUMIFS(Coefficients!$C:$C,Coefficients!$A:$A,$B4,Coefficients!$B:$B,"技巧"),1)+SUMIFS(StandardParams!$D:$D,StandardParams!$B:$B,"技巧")*IFERROR(SUMIFS(Coefficients!$D:$D,Coefficients!$A:$A,$B4,Coefficients!$B:$B,"技巧"),1)*SUMIFS(TestCases!$D:$D,TestCases!$A:$A,$A4)*SUMIFS(StandardParams!$E:$E,StandardParams!$B:$B,"技巧")*IFERROR(SUMIFS(Coefficients!$E:$E,Coefficients!$A:$A,$B4,Coefficients!$B:$B,"技巧"),1)+SUMIFS(StandardParams!$F:$F,StandardParams!$B:$B,"技巧")*IFERROR(SUMIFS(Coefficients!$F:$F,Coefficients!$A:$A,$B4,Coefficients!$B:$B,"技巧"),1))</f>
      </c>
      <c r="F4">
        <f>IF($A4="","",SUMIFS(StandardParams!$C:$C,StandardParams!$B:$B,"根骨")*IFERROR(SUMIFS(Coefficients!$C:$C,Coefficients!$A:$A,$B4,Coefficients!$B:$B,"根骨"),1)+SUMIFS(StandardParams!$D:$D,StandardParams!$B:$B,"根骨")*IFERROR(SUMIFS(Coefficients!$D:$D,Coefficients!$A:$A,$B4,Coefficients!$B:$B,"根骨"),1)*SUMIFS(TestCases!$D:$D,TestCases!$A:$A,$A4)*SUMIFS(StandardParams!$E:$E,StandardParams!$B:$B,"根骨")*IFERROR(SUMIFS(Coefficients!$E:$E,Coefficients!$A:$A,$B4,Coefficients!$B:$B,"根骨"),1)+SUMIFS(StandardParams!$F:$F,StandardParams!$B:$B,"根骨")*IFERROR(SUMIFS(Coefficients!$F:$F,Coefficients!$A:$A,$B4,Coefficients!$B:$B,"根骨"),1))</f>
      </c>
      <c r="G4">
        <f>IF($A4="","",SUMIFS(StandardParams!$C:$C,StandardParams!$B:$B,"内息")*IFERROR(SUMIFS(Coefficients!$C:$C,Coefficients!$A:$A,$B4,Coefficients!$B:$B,"内息"),1)+SUMIFS(StandardParams!$D:$D,StandardParams!$B:$B,"内息")*IFERROR(SUMIFS(Coefficients!$D:$D,Coefficients!$A:$A,$B4,Coefficients!$B:$B,"内息"),1)*SUMIFS(TestCases!$D:$D,TestCases!$A:$A,$A4)*SUMIFS(StandardParams!$E:$E,StandardParams!$B:$B,"内息")*IFERROR(SUMIFS(Coefficients!$E:$E,Coefficients!$A:$A,$B4,Coefficients!$B:$B,"内息"),1)+SUMIFS(StandardParams!$F:$F,StandardParams!$B:$B,"内息")*IFERROR(SUMIFS(Coefficients!$F:$F,Coefficients!$A:$A,$B4,Coefficients!$B:$B,"内息"),1))</f>
      </c>
      <c r="H4">
        <f>IF($A4="","",SUMIFS(StandardParams!$C:$C,StandardParams!$B:$B,"身法")*IFERROR(SUMIFS(Coefficients!$C:$C,Coefficients!$A:$A,$B4,Coefficients!$B:$B,"身法"),1)+SUMIFS(StandardParams!$D:$D,StandardParams!$B:$B,"身法")*IFERROR(SUMIFS(Coefficients!$D:$D,Coefficients!$A:$A,$B4,Coefficients!$B:$B,"身法"),1)*SUMIFS(TestCases!$D:$D,TestCases!$A:$A,$A4)*SUMIFS(StandardParams!$E:$E,StandardParams!$B:$B,"身法")*IFERROR(SUMIFS(Coefficients!$E:$E,Coefficients!$A:$A,$B4,Coefficients!$B:$B,"身法"),1)+SUMIFS(StandardParams!$F:$F,StandardParams!$B:$B,"身法")*IFERROR(SUMIFS(Coefficients!$F:$F,Coefficients!$A:$A,$B4,Coefficients!$B:$B,"身法"),1))</f>
      </c>
      <c r="I4">
        <f>IF($A4="","",SUMIFS(StandardParams!$C:$C,StandardParams!$B:$B,"定力")*IFERROR(SUMIFS(Coefficients!$C:$C,Coefficients!$A:$A,$B4,Coefficients!$B:$B,"定力"),1)+SUMIFS(StandardParams!$D:$D,StandardParams!$B:$B,"定力")*IFERROR(SUMIFS(Coefficients!$D:$D,Coefficients!$A:$A,$B4,Coefficients!$B:$B,"定力"),1)*SUMIFS(TestCases!$D:$D,TestCases!$A:$A,$A4)*SUMIFS(StandardParams!$E:$E,StandardParams!$B:$B,"定力")*IFERROR(SUMIFS(Coefficients!$E:$E,Coefficients!$A:$A,$B4,Coefficients!$B:$B,"定力"),1)+SUMIFS(StandardParams!$F:$F,StandardParams!$B:$B,"定力")*IFERROR(SUMIFS(Coefficients!$F:$F,Coefficients!$A:$A,$B4,Coefficients!$B:$B,"定力"),1))</f>
      </c>
      <c r="J4">
        <f>IF($A4="","",SUMIFS(StandardParams!$C:$C,StandardParams!$B:$B,"攻击")*IFERROR(SUMIFS(Coefficients!$C:$C,Coefficients!$A:$A,$B4,Coefficients!$B:$B,"攻击"),1)+SUMIFS(StandardParams!$D:$D,StandardParams!$B:$B,"攻击")*IFERROR(SUMIFS(Coefficients!$D:$D,Coefficients!$A:$A,$B4,Coefficients!$B:$B,"攻击"),1)*SUMIFS(TestCases!$D:$D,TestCases!$A:$A,$A4)+SUMIFS(StandardParams!$F:$F,StandardParams!$B:$B,"攻击")*IFERROR(SUMIFS(Coefficients!$F:$F,Coefficients!$A:$A,$B4,Coefficients!$B:$B,"攻击"),1)+SUMIFS(EquipPlans!$I:$I,EquipPlans!$A:$A,$C4,EquipPlans!$B:$B,"攻击")+D4*4)</f>
      </c>
      <c r="K4">
        <f>IF($A4="","",SUMIFS(StandardParams!$C:$C,StandardParams!$B:$B,"防御")*IFERROR(SUMIFS(Coefficients!$C:$C,Coefficients!$A:$A,$B4,Coefficients!$B:$B,"防御"),1)+SUMIFS(StandardParams!$D:$D,StandardParams!$B:$B,"防御")*IFERROR(SUMIFS(Coefficients!$D:$D,Coefficients!$A:$A,$B4,Coefficients!$B:$B,"防御"),1)*SUMIFS(TestCases!$D:$D,TestCases!$A:$A,$A4)+SUMIFS(StandardParams!$F:$F,StandardParams!$B:$B,"防御")*IFERROR(SUMIFS(Coefficients!$F:$F,Coefficients!$A:$A,$B4,Coefficients!$B:$B,"防御"),1)+SUMIFS(EquipPlans!$I:$I,EquipPlans!$A:$A,$C4,EquipPlans!$B:$B,"防御"))</f>
      </c>
      <c r="L4">
        <f>IF($A4="","",SUMIFS(StandardParams!$C:$C,StandardParams!$B:$B,"速度")*IFERROR(SUMIFS(Coefficients!$C:$C,Coefficients!$A:$A,$B4,Coefficients!$B:$B,"速度"),1)+SUMIFS(StandardParams!$D:$D,StandardParams!$B:$B,"速度")*IFERROR(SUMIFS(Coefficients!$D:$D,Coefficients!$A:$A,$B4,Coefficients!$B:$B,"速度"),1)*SUMIFS(TestCases!$D:$D,TestCases!$A:$A,$A4)+SUMIFS(StandardParams!$F:$F,StandardParams!$B:$B,"速度")*IFERROR(SUMIFS(Coefficients!$F:$F,Coefficients!$A:$A,$B4,Coefficients!$B:$B,"速度"),1)+SUMIFS(EquipPlans!$I:$I,EquipPlans!$A:$A,$C4,EquipPlans!$B:$B,"速度")+H4*2)</f>
      </c>
      <c r="M4">
        <f>IF($A4="","",SUMIFS(StandardParams!$C:$C,StandardParams!$B:$B,"命中")*IFERROR(SUMIFS(Coefficients!$C:$C,Coefficients!$A:$A,$B4,Coefficients!$B:$B,"命中"),1)+SUMIFS(StandardParams!$D:$D,StandardParams!$B:$B,"命中")*IFERROR(SUMIFS(Coefficients!$D:$D,Coefficients!$A:$A,$B4,Coefficients!$B:$B,"命中"),1)*SUMIFS(TestCases!$D:$D,TestCases!$A:$A,$A4)+SUMIFS(StandardParams!$F:$F,StandardParams!$B:$B,"命中")*IFERROR(SUMIFS(Coefficients!$F:$F,Coefficients!$A:$A,$B4,Coefficients!$B:$B,"命中"),1)+SUMIFS(EquipPlans!$I:$I,EquipPlans!$A:$A,$C4,EquipPlans!$B:$B,"命中")+E4*2)</f>
      </c>
      <c r="N4">
        <f>IF($A4="","",SUMIFS(StandardParams!$C:$C,StandardParams!$B:$B,"招架")*IFERROR(SUMIFS(Coefficients!$C:$C,Coefficients!$A:$A,$B4,Coefficients!$B:$B,"招架"),1)+SUMIFS(StandardParams!$D:$D,StandardParams!$B:$B,"招架")*IFERROR(SUMIFS(Coefficients!$D:$D,Coefficients!$A:$A,$B4,Coefficients!$B:$B,"招架"),1)*SUMIFS(TestCases!$D:$D,TestCases!$A:$A,$A4)+SUMIFS(StandardParams!$F:$F,StandardParams!$B:$B,"招架")*IFERROR(SUMIFS(Coefficients!$F:$F,Coefficients!$A:$A,$B4,Coefficients!$B:$B,"招架"),1)+SUMIFS(EquipPlans!$I:$I,EquipPlans!$A:$A,$C4,EquipPlans!$B:$B,"招架")+E4*2)</f>
      </c>
      <c r="O4">
        <f>IF($A4="","",SUMIFS(StandardParams!$C:$C,StandardParams!$B:$B,"偏斜")*IFERROR(SUMIFS(Coefficients!$C:$C,Coefficients!$A:$A,$B4,Coefficients!$B:$B,"偏斜"),1)+SUMIFS(StandardParams!$D:$D,StandardParams!$B:$B,"偏斜")*IFERROR(SUMIFS(Coefficients!$D:$D,Coefficients!$A:$A,$B4,Coefficients!$B:$B,"偏斜"),1)*SUMIFS(TestCases!$D:$D,TestCases!$A:$A,$A4)+SUMIFS(StandardParams!$F:$F,StandardParams!$B:$B,"偏斜")*IFERROR(SUMIFS(Coefficients!$F:$F,Coefficients!$A:$A,$B4,Coefficients!$B:$B,"偏斜"),1)+SUMIFS(EquipPlans!$I:$I,EquipPlans!$A:$A,$C4,EquipPlans!$B:$B,"偏斜")+H4*2)</f>
      </c>
      <c r="P4">
        <f>IF($A4="","",SUMIFS(StandardParams!$C:$C,StandardParams!$B:$B,"抵抗")*IFERROR(SUMIFS(Coefficients!$C:$C,Coefficients!$A:$A,$B4,Coefficients!$B:$B,"抵抗"),1)+SUMIFS(StandardParams!$D:$D,StandardParams!$B:$B,"抵抗")*IFERROR(SUMIFS(Coefficients!$D:$D,Coefficients!$A:$A,$B4,Coefficients!$B:$B,"抵抗"),1)*SUMIFS(TestCases!$D:$D,TestCases!$A:$A,$A4)+SUMIFS(StandardParams!$F:$F,StandardParams!$B:$B,"抵抗")*IFERROR(SUMIFS(Coefficients!$F:$F,Coefficients!$A:$A,$B4,Coefficients!$B:$B,"抵抗"),1)+SUMIFS(EquipPlans!$I:$I,EquipPlans!$A:$A,$C4,EquipPlans!$B:$B,"抵抗")+I4*2.5)</f>
      </c>
      <c r="Q4">
        <f>IF($A4="","",SUMIFS(StandardParams!$C:$C,StandardParams!$B:$B,"韧性")*IFERROR(SUMIFS(Coefficients!$C:$C,Coefficients!$A:$A,$B4,Coefficients!$B:$B,"韧性"),1)+SUMIFS(StandardParams!$D:$D,StandardParams!$B:$B,"韧性")*IFERROR(SUMIFS(Coefficients!$D:$D,Coefficients!$A:$A,$B4,Coefficients!$B:$B,"韧性"),1)*SUMIFS(TestCases!$D:$D,TestCases!$A:$A,$A4)+SUMIFS(StandardParams!$F:$F,StandardParams!$B:$B,"韧性")*IFERROR(SUMIFS(Coefficients!$F:$F,Coefficients!$A:$A,$B4,Coefficients!$B:$B,"韧性"),1)+SUMIFS(EquipPlans!$I:$I,EquipPlans!$A:$A,$C4,EquipPlans!$B:$B,"韧性")+F4)</f>
      </c>
      <c r="R4">
        <f>IF($A4="","",SUMIFS(StandardParams!$C:$C,StandardParams!$B:$B,"气血")*IFERROR(SUMIFS(Coefficients!$C:$C,Coefficients!$A:$A,$B4,Coefficients!$B:$B,"气血"),1)+SUMIFS(StandardParams!$D:$D,StandardParams!$B:$B,"气血")*IFERROR(SUMIFS(Coefficients!$D:$D,Coefficients!$A:$A,$B4,Coefficients!$B:$B,"气血"),1)*SUMIFS(TestCases!$D:$D,TestCases!$A:$A,$A4)+SUMIFS(StandardParams!$F:$F,StandardParams!$B:$B,"气血")*IFERROR(SUMIFS(Coefficients!$F:$F,Coefficients!$A:$A,$B4,Coefficients!$B:$B,"气血"),1)+SUMIFS(EquipPlans!$I:$I,EquipPlans!$A:$A,$C4,EquipPlans!$B:$B,"气血")+F4*20)</f>
      </c>
      <c r="S4">
        <f>IF($A4="","",SUMIFS(StandardParams!$C:$C,StandardParams!$B:$B,"内力")*IFERROR(SUMIFS(Coefficients!$C:$C,Coefficients!$A:$A,$B4,Coefficients!$B:$B,"内力"),1)+SUMIFS(StandardParams!$D:$D,StandardParams!$B:$B,"内力")*IFERROR(SUMIFS(Coefficients!$D:$D,Coefficients!$A:$A,$B4,Coefficients!$B:$B,"内力"),1)*SUMIFS(TestCases!$D:$D,TestCases!$A:$A,$A4)+SUMIFS(StandardParams!$F:$F,StandardParams!$B:$B,"内力")*IFERROR(SUMIFS(Coefficients!$F:$F,Coefficients!$A:$A,$B4,Coefficients!$B:$B,"内力"),1)+SUMIFS(EquipPlans!$I:$I,EquipPlans!$A:$A,$C4,EquipPlans!$B:$B,"内力")+G4*10)</f>
      </c>
      <c r="T4">
        <f>IF($A4="","",SUMIFS(StandardParams!$C:$C,StandardParams!$B:$B,"内力回复")*IFERROR(SUMIFS(Coefficients!$C:$C,Coefficients!$A:$A,$B4,Coefficients!$B:$B,"内力回复"),1)+SUMIFS(StandardParams!$D:$D,StandardParams!$B:$B,"内力回复")*IFERROR(SUMIFS(Coefficients!$D:$D,Coefficients!$A:$A,$B4,Coefficients!$B:$B,"内力回复"),1)*SUMIFS(TestCases!$D:$D,TestCases!$A:$A,$A4)+SUMIFS(StandardParams!$F:$F,StandardParams!$B:$B,"内力回复")*IFERROR(SUMIFS(Coefficients!$F:$F,Coefficients!$A:$A,$B4,Coefficients!$B:$B,"内力回复"),1)+SUMIFS(EquipPlans!$I:$I,EquipPlans!$A:$A,$C4,EquipPlans!$B:$B,"内力回复")+G4*0.5)</f>
      </c>
      <c r="U4">
        <f>IF($A4="","",SUMIFS(StandardParams!$C:$C,StandardParams!$B:$B,"气血恢复")*IFERROR(SUMIFS(Coefficients!$C:$C,Coefficients!$A:$A,$B4,Coefficients!$B:$B,"气血恢复"),1)+SUMIFS(StandardParams!$D:$D,StandardParams!$B:$B,"气血恢复")*IFERROR(SUMIFS(Coefficients!$D:$D,Coefficients!$A:$A,$B4,Coefficients!$B:$B,"气血恢复"),1)*SUMIFS(TestCases!$D:$D,TestCases!$A:$A,$A4)+SUMIFS(StandardParams!$F:$F,StandardParams!$B:$B,"气血恢复")*IFERROR(SUMIFS(Coefficients!$F:$F,Coefficients!$A:$A,$B4,Coefficients!$B:$B,"气血恢复"),1)+SUMIFS(EquipPlans!$I:$I,EquipPlans!$A:$A,$C4,EquipPlans!$B:$B,"气血恢复"))</f>
      </c>
      <c r="V4">
        <f>IF($A4="","",L4/(N4+L4+500))</f>
      </c>
      <c r="W4">
        <f>IF($A4="","",M4/(O4+M4+500))</f>
      </c>
      <c r="X4">
        <f>IF($A4="","",K4/(J4+K4))</f>
      </c>
    </row>
    <row r="5">
      <c r="A5">
        <f>IF(TestCases!A5="","",TestCases!A5)</f>
      </c>
      <c r="B5">
        <f>IF($A5="","",TestCases!B5)</f>
      </c>
      <c r="C5">
        <f>IF($A5="","",TestCases!C5)</f>
      </c>
      <c r="D5">
        <f>IF($A5="","",SUMIFS(StandardParams!$C:$C,StandardParams!$B:$B,"臂力")*IFERROR(SUMIFS(Coefficients!$C:$C,Coefficients!$A:$A,$B5,Coefficients!$B:$B,"臂力"),1)+SUMIFS(StandardParams!$D:$D,StandardParams!$B:$B,"臂力")*IFERROR(SUMIFS(Coefficients!$D:$D,Coefficients!$A:$A,$B5,Coefficients!$B:$B,"臂力"),1)*SUMIFS(TestCases!$D:$D,TestCases!$A:$A,$A5)*SUMIFS(StandardParams!$E:$E,StandardParams!$B:$B,"臂力")*IFERROR(SUMIFS(Coefficients!$E:$E,Coefficients!$A:$A,$B5,Coefficients!$B:$B,"臂力"),1)+SUMIFS(StandardParams!$F:$F,StandardParams!$B:$B,"臂力")*IFERROR(SUMIFS(Coefficients!$F:$F,Coefficients!$A:$A,$B5,Coefficients!$B:$B,"臂力"),1))</f>
      </c>
      <c r="E5">
        <f>IF($A5="","",SUMIFS(StandardParams!$C:$C,StandardParams!$B:$B,"技巧")*IFERROR(SUMIFS(Coefficients!$C:$C,Coefficients!$A:$A,$B5,Coefficients!$B:$B,"技巧"),1)+SUMIFS(StandardParams!$D:$D,StandardParams!$B:$B,"技巧")*IFERROR(SUMIFS(Coefficients!$D:$D,Coefficients!$A:$A,$B5,Coefficients!$B:$B,"技巧"),1)*SUMIFS(TestCases!$D:$D,TestCases!$A:$A,$A5)*SUMIFS(StandardParams!$E:$E,StandardParams!$B:$B,"技巧")*IFERROR(SUMIFS(Coefficients!$E:$E,Coefficients!$A:$A,$B5,Coefficients!$B:$B,"技巧"),1)+SUMIFS(StandardParams!$F:$F,StandardParams!$B:$B,"技巧")*IFERROR(SUMIFS(Coefficients!$F:$F,Coefficients!$A:$A,$B5,Coefficients!$B:$B,"技巧"),1))</f>
      </c>
      <c r="F5">
        <f>IF($A5="","",SUMIFS(StandardParams!$C:$C,StandardParams!$B:$B,"根骨")*IFERROR(SUMIFS(Coefficients!$C:$C,Coefficients!$A:$A,$B5,Coefficients!$B:$B,"根骨"),1)+SUMIFS(StandardParams!$D:$D,StandardParams!$B:$B,"根骨")*IFERROR(SUMIFS(Coefficients!$D:$D,Coefficients!$A:$A,$B5,Coefficients!$B:$B,"根骨"),1)*SUMIFS(TestCases!$D:$D,TestCases!$A:$A,$A5)*SUMIFS(StandardParams!$E:$E,StandardParams!$B:$B,"根骨")*IFERROR(SUMIFS(Coefficients!$E:$E,Coefficients!$A:$A,$B5,Coefficients!$B:$B,"根骨"),1)+SUMIFS(StandardParams!$F:$F,StandardParams!$B:$B,"根骨")*IFERROR(SUMIFS(Coefficients!$F:$F,Coefficients!$A:$A,$B5,Coefficients!$B:$B,"根骨"),1))</f>
      </c>
      <c r="G5">
        <f>IF($A5="","",SUMIFS(StandardParams!$C:$C,StandardParams!$B:$B,"内息")*IFERROR(SUMIFS(Coefficients!$C:$C,Coefficients!$A:$A,$B5,Coefficients!$B:$B,"内息"),1)+SUMIFS(StandardParams!$D:$D,StandardParams!$B:$B,"内息")*IFERROR(SUMIFS(Coefficients!$D:$D,Coefficients!$A:$A,$B5,Coefficients!$B:$B,"内息"),1)*SUMIFS(TestCases!$D:$D,TestCases!$A:$A,$A5)*SUMIFS(StandardParams!$E:$E,StandardParams!$B:$B,"内息")*IFERROR(SUMIFS(Coefficients!$E:$E,Coefficients!$A:$A,$B5,Coefficients!$B:$B,"内息"),1)+SUMIFS(StandardParams!$F:$F,StandardParams!$B:$B,"内息")*IFERROR(SUMIFS(Coefficients!$F:$F,Coefficients!$A:$A,$B5,Coefficients!$B:$B,"内息"),1))</f>
      </c>
      <c r="H5">
        <f>IF($A5="","",SUMIFS(StandardParams!$C:$C,StandardParams!$B:$B,"身法")*IFERROR(SUMIFS(Coefficients!$C:$C,Coefficients!$A:$A,$B5,Coefficients!$B:$B,"身法"),1)+SUMIFS(StandardParams!$D:$D,StandardParams!$B:$B,"身法")*IFERROR(SUMIFS(Coefficients!$D:$D,Coefficients!$A:$A,$B5,Coefficients!$B:$B,"身法"),1)*SUMIFS(TestCases!$D:$D,TestCases!$A:$A,$A5)*SUMIFS(StandardParams!$E:$E,StandardParams!$B:$B,"身法")*IFERROR(SUMIFS(Coefficients!$E:$E,Coefficients!$A:$A,$B5,Coefficients!$B:$B,"身法"),1)+SUMIFS(StandardParams!$F:$F,StandardParams!$B:$B,"身法")*IFERROR(SUMIFS(Coefficients!$F:$F,Coefficients!$A:$A,$B5,Coefficients!$B:$B,"身法"),1))</f>
      </c>
      <c r="I5">
        <f>IF($A5="","",SUMIFS(StandardParams!$C:$C,StandardParams!$B:$B,"定力")*IFERROR(SUMIFS(Coefficients!$C:$C,Coefficients!$A:$A,$B5,Coefficients!$B:$B,"定力"),1)+SUMIFS(StandardParams!$D:$D,StandardParams!$B:$B,"定力")*IFERROR(SUMIFS(Coefficients!$D:$D,Coefficients!$A:$A,$B5,Coefficients!$B:$B,"定力"),1)*SUMIFS(TestCases!$D:$D,TestCases!$A:$A,$A5)*SUMIFS(StandardParams!$E:$E,StandardParams!$B:$B,"定力")*IFERROR(SUMIFS(Coefficients!$E:$E,Coefficients!$A:$A,$B5,Coefficients!$B:$B,"定力"),1)+SUMIFS(StandardParams!$F:$F,StandardParams!$B:$B,"定力")*IFERROR(SUMIFS(Coefficients!$F:$F,Coefficients!$A:$A,$B5,Coefficients!$B:$B,"定力"),1))</f>
      </c>
      <c r="J5">
        <f>IF($A5="","",SUMIFS(StandardParams!$C:$C,StandardParams!$B:$B,"攻击")*IFERROR(SUMIFS(Coefficients!$C:$C,Coefficients!$A:$A,$B5,Coefficients!$B:$B,"攻击"),1)+SUMIFS(StandardParams!$D:$D,StandardParams!$B:$B,"攻击")*IFERROR(SUMIFS(Coefficients!$D:$D,Coefficients!$A:$A,$B5,Coefficients!$B:$B,"攻击"),1)*SUMIFS(TestCases!$D:$D,TestCases!$A:$A,$A5)+SUMIFS(StandardParams!$F:$F,StandardParams!$B:$B,"攻击")*IFERROR(SUMIFS(Coefficients!$F:$F,Coefficients!$A:$A,$B5,Coefficients!$B:$B,"攻击"),1)+SUMIFS(EquipPlans!$I:$I,EquipPlans!$A:$A,$C5,EquipPlans!$B:$B,"攻击")+D5*4)</f>
      </c>
      <c r="K5">
        <f>IF($A5="","",SUMIFS(StandardParams!$C:$C,StandardParams!$B:$B,"防御")*IFERROR(SUMIFS(Coefficients!$C:$C,Coefficients!$A:$A,$B5,Coefficients!$B:$B,"防御"),1)+SUMIFS(StandardParams!$D:$D,StandardParams!$B:$B,"防御")*IFERROR(SUMIFS(Coefficients!$D:$D,Coefficients!$A:$A,$B5,Coefficients!$B:$B,"防御"),1)*SUMIFS(TestCases!$D:$D,TestCases!$A:$A,$A5)+SUMIFS(StandardParams!$F:$F,StandardParams!$B:$B,"防御")*IFERROR(SUMIFS(Coefficients!$F:$F,Coefficients!$A:$A,$B5,Coefficients!$B:$B,"防御"),1)+SUMIFS(EquipPlans!$I:$I,EquipPlans!$A:$A,$C5,EquipPlans!$B:$B,"防御"))</f>
      </c>
      <c r="L5">
        <f>IF($A5="","",SUMIFS(StandardParams!$C:$C,StandardParams!$B:$B,"速度")*IFERROR(SUMIFS(Coefficients!$C:$C,Coefficients!$A:$A,$B5,Coefficients!$B:$B,"速度"),1)+SUMIFS(StandardParams!$D:$D,StandardParams!$B:$B,"速度")*IFERROR(SUMIFS(Coefficients!$D:$D,Coefficients!$A:$A,$B5,Coefficients!$B:$B,"速度"),1)*SUMIFS(TestCases!$D:$D,TestCases!$A:$A,$A5)+SUMIFS(StandardParams!$F:$F,StandardParams!$B:$B,"速度")*IFERROR(SUMIFS(Coefficients!$F:$F,Coefficients!$A:$A,$B5,Coefficients!$B:$B,"速度"),1)+SUMIFS(EquipPlans!$I:$I,EquipPlans!$A:$A,$C5,EquipPlans!$B:$B,"速度")+H5*2)</f>
      </c>
      <c r="M5">
        <f>IF($A5="","",SUMIFS(StandardParams!$C:$C,StandardParams!$B:$B,"命中")*IFERROR(SUMIFS(Coefficients!$C:$C,Coefficients!$A:$A,$B5,Coefficients!$B:$B,"命中"),1)+SUMIFS(StandardParams!$D:$D,StandardParams!$B:$B,"命中")*IFERROR(SUMIFS(Coefficients!$D:$D,Coefficients!$A:$A,$B5,Coefficients!$B:$B,"命中"),1)*SUMIFS(TestCases!$D:$D,TestCases!$A:$A,$A5)+SUMIFS(StandardParams!$F:$F,StandardParams!$B:$B,"命中")*IFERROR(SUMIFS(Coefficients!$F:$F,Coefficients!$A:$A,$B5,Coefficients!$B:$B,"命中"),1)+SUMIFS(EquipPlans!$I:$I,EquipPlans!$A:$A,$C5,EquipPlans!$B:$B,"命中")+E5*2)</f>
      </c>
      <c r="N5">
        <f>IF($A5="","",SUMIFS(StandardParams!$C:$C,StandardParams!$B:$B,"招架")*IFERROR(SUMIFS(Coefficients!$C:$C,Coefficients!$A:$A,$B5,Coefficients!$B:$B,"招架"),1)+SUMIFS(StandardParams!$D:$D,StandardParams!$B:$B,"招架")*IFERROR(SUMIFS(Coefficients!$D:$D,Coefficients!$A:$A,$B5,Coefficients!$B:$B,"招架"),1)*SUMIFS(TestCases!$D:$D,TestCases!$A:$A,$A5)+SUMIFS(StandardParams!$F:$F,StandardParams!$B:$B,"招架")*IFERROR(SUMIFS(Coefficients!$F:$F,Coefficients!$A:$A,$B5,Coefficients!$B:$B,"招架"),1)+SUMIFS(EquipPlans!$I:$I,EquipPlans!$A:$A,$C5,EquipPlans!$B:$B,"招架")+E5*2)</f>
      </c>
      <c r="O5">
        <f>IF($A5="","",SUMIFS(StandardParams!$C:$C,StandardParams!$B:$B,"偏斜")*IFERROR(SUMIFS(Coefficients!$C:$C,Coefficients!$A:$A,$B5,Coefficients!$B:$B,"偏斜"),1)+SUMIFS(StandardParams!$D:$D,StandardParams!$B:$B,"偏斜")*IFERROR(SUMIFS(Coefficients!$D:$D,Coefficients!$A:$A,$B5,Coefficients!$B:$B,"偏斜"),1)*SUMIFS(TestCases!$D:$D,TestCases!$A:$A,$A5)+SUMIFS(StandardParams!$F:$F,StandardParams!$B:$B,"偏斜")*IFERROR(SUMIFS(Coefficients!$F:$F,Coefficients!$A:$A,$B5,Coefficients!$B:$B,"偏斜"),1)+SUMIFS(EquipPlans!$I:$I,EquipPlans!$A:$A,$C5,EquipPlans!$B:$B,"偏斜")+H5*2)</f>
      </c>
      <c r="P5">
        <f>IF($A5="","",SUMIFS(StandardParams!$C:$C,StandardParams!$B:$B,"抵抗")*IFERROR(SUMIFS(Coefficients!$C:$C,Coefficients!$A:$A,$B5,Coefficients!$B:$B,"抵抗"),1)+SUMIFS(StandardParams!$D:$D,StandardParams!$B:$B,"抵抗")*IFERROR(SUMIFS(Coefficients!$D:$D,Coefficients!$A:$A,$B5,Coefficients!$B:$B,"抵抗"),1)*SUMIFS(TestCases!$D:$D,TestCases!$A:$A,$A5)+SUMIFS(StandardParams!$F:$F,StandardParams!$B:$B,"抵抗")*IFERROR(SUMIFS(Coefficients!$F:$F,Coefficients!$A:$A,$B5,Coefficients!$B:$B,"抵抗"),1)+SUMIFS(EquipPlans!$I:$I,EquipPlans!$A:$A,$C5,EquipPlans!$B:$B,"抵抗")+I5*2.5)</f>
      </c>
      <c r="Q5">
        <f>IF($A5="","",SUMIFS(StandardParams!$C:$C,StandardParams!$B:$B,"韧性")*IFERROR(SUMIFS(Coefficients!$C:$C,Coefficients!$A:$A,$B5,Coefficients!$B:$B,"韧性"),1)+SUMIFS(StandardParams!$D:$D,StandardParams!$B:$B,"韧性")*IFERROR(SUMIFS(Coefficients!$D:$D,Coefficients!$A:$A,$B5,Coefficients!$B:$B,"韧性"),1)*SUMIFS(TestCases!$D:$D,TestCases!$A:$A,$A5)+SUMIFS(StandardParams!$F:$F,StandardParams!$B:$B,"韧性")*IFERROR(SUMIFS(Coefficients!$F:$F,Coefficients!$A:$A,$B5,Coefficients!$B:$B,"韧性"),1)+SUMIFS(EquipPlans!$I:$I,EquipPlans!$A:$A,$C5,EquipPlans!$B:$B,"韧性")+F5)</f>
      </c>
      <c r="R5">
        <f>IF($A5="","",SUMIFS(StandardParams!$C:$C,StandardParams!$B:$B,"气血")*IFERROR(SUMIFS(Coefficients!$C:$C,Coefficients!$A:$A,$B5,Coefficients!$B:$B,"气血"),1)+SUMIFS(StandardParams!$D:$D,StandardParams!$B:$B,"气血")*IFERROR(SUMIFS(Coefficients!$D:$D,Coefficients!$A:$A,$B5,Coefficients!$B:$B,"气血"),1)*SUMIFS(TestCases!$D:$D,TestCases!$A:$A,$A5)+SUMIFS(StandardParams!$F:$F,StandardParams!$B:$B,"气血")*IFERROR(SUMIFS(Coefficients!$F:$F,Coefficients!$A:$A,$B5,Coefficients!$B:$B,"气血"),1)+SUMIFS(EquipPlans!$I:$I,EquipPlans!$A:$A,$C5,EquipPlans!$B:$B,"气血")+F5*20)</f>
      </c>
      <c r="S5">
        <f>IF($A5="","",SUMIFS(StandardParams!$C:$C,StandardParams!$B:$B,"内力")*IFERROR(SUMIFS(Coefficients!$C:$C,Coefficients!$A:$A,$B5,Coefficients!$B:$B,"内力"),1)+SUMIFS(StandardParams!$D:$D,StandardParams!$B:$B,"内力")*IFERROR(SUMIFS(Coefficients!$D:$D,Coefficients!$A:$A,$B5,Coefficients!$B:$B,"内力"),1)*SUMIFS(TestCases!$D:$D,TestCases!$A:$A,$A5)+SUMIFS(StandardParams!$F:$F,StandardParams!$B:$B,"内力")*IFERROR(SUMIFS(Coefficients!$F:$F,Coefficients!$A:$A,$B5,Coefficients!$B:$B,"内力"),1)+SUMIFS(EquipPlans!$I:$I,EquipPlans!$A:$A,$C5,EquipPlans!$B:$B,"内力")+G5*10)</f>
      </c>
      <c r="T5">
        <f>IF($A5="","",SUMIFS(StandardParams!$C:$C,StandardParams!$B:$B,"内力回复")*IFERROR(SUMIFS(Coefficients!$C:$C,Coefficients!$A:$A,$B5,Coefficients!$B:$B,"内力回复"),1)+SUMIFS(StandardParams!$D:$D,StandardParams!$B:$B,"内力回复")*IFERROR(SUMIFS(Coefficients!$D:$D,Coefficients!$A:$A,$B5,Coefficients!$B:$B,"内力回复"),1)*SUMIFS(TestCases!$D:$D,TestCases!$A:$A,$A5)+SUMIFS(StandardParams!$F:$F,StandardParams!$B:$B,"内力回复")*IFERROR(SUMIFS(Coefficients!$F:$F,Coefficients!$A:$A,$B5,Coefficients!$B:$B,"内力回复"),1)+SUMIFS(EquipPlans!$I:$I,EquipPlans!$A:$A,$C5,EquipPlans!$B:$B,"内力回复")+G5*0.5)</f>
      </c>
      <c r="U5">
        <f>IF($A5="","",SUMIFS(StandardParams!$C:$C,StandardParams!$B:$B,"气血恢复")*IFERROR(SUMIFS(Coefficients!$C:$C,Coefficients!$A:$A,$B5,Coefficients!$B:$B,"气血恢复"),1)+SUMIFS(StandardParams!$D:$D,StandardParams!$B:$B,"气血恢复")*IFERROR(SUMIFS(Coefficients!$D:$D,Coefficients!$A:$A,$B5,Coefficients!$B:$B,"气血恢复"),1)*SUMIFS(TestCases!$D:$D,TestCases!$A:$A,$A5)+SUMIFS(StandardParams!$F:$F,StandardParams!$B:$B,"气血恢复")*IFERROR(SUMIFS(Coefficients!$F:$F,Coefficients!$A:$A,$B5,Coefficients!$B:$B,"气血恢复"),1)+SUMIFS(EquipPlans!$I:$I,EquipPlans!$A:$A,$C5,EquipPlans!$B:$B,"气血恢复"))</f>
      </c>
      <c r="V5">
        <f>IF($A5="","",L5/(N5+L5+500))</f>
      </c>
      <c r="W5">
        <f>IF($A5="","",M5/(O5+M5+500))</f>
      </c>
      <c r="X5">
        <f>IF($A5="","",K5/(J5+K5))</f>
      </c>
    </row>
    <row r="6">
      <c r="A6">
        <f>IF(TestCases!A6="","",TestCases!A6)</f>
      </c>
      <c r="B6">
        <f>IF($A6="","",TestCases!B6)</f>
      </c>
      <c r="C6">
        <f>IF($A6="","",TestCases!C6)</f>
      </c>
      <c r="D6">
        <f>IF($A6="","",SUMIFS(StandardParams!$C:$C,StandardParams!$B:$B,"臂力")*IFERROR(SUMIFS(Coefficients!$C:$C,Coefficients!$A:$A,$B6,Coefficients!$B:$B,"臂力"),1)+SUMIFS(StandardParams!$D:$D,StandardParams!$B:$B,"臂力")*IFERROR(SUMIFS(Coefficients!$D:$D,Coefficients!$A:$A,$B6,Coefficients!$B:$B,"臂力"),1)*SUMIFS(TestCases!$D:$D,TestCases!$A:$A,$A6)*SUMIFS(StandardParams!$E:$E,StandardParams!$B:$B,"臂力")*IFERROR(SUMIFS(Coefficients!$E:$E,Coefficients!$A:$A,$B6,Coefficients!$B:$B,"臂力"),1)+SUMIFS(StandardParams!$F:$F,StandardParams!$B:$B,"臂力")*IFERROR(SUMIFS(Coefficients!$F:$F,Coefficients!$A:$A,$B6,Coefficients!$B:$B,"臂力"),1))</f>
      </c>
      <c r="E6">
        <f>IF($A6="","",SUMIFS(StandardParams!$C:$C,StandardParams!$B:$B,"技巧")*IFERROR(SUMIFS(Coefficients!$C:$C,Coefficients!$A:$A,$B6,Coefficients!$B:$B,"技巧"),1)+SUMIFS(StandardParams!$D:$D,StandardParams!$B:$B,"技巧")*IFERROR(SUMIFS(Coefficients!$D:$D,Coefficients!$A:$A,$B6,Coefficients!$B:$B,"技巧"),1)*SUMIFS(TestCases!$D:$D,TestCases!$A:$A,$A6)*SUMIFS(StandardParams!$E:$E,StandardParams!$B:$B,"技巧")*IFERROR(SUMIFS(Coefficients!$E:$E,Coefficients!$A:$A,$B6,Coefficients!$B:$B,"技巧"),1)+SUMIFS(StandardParams!$F:$F,StandardParams!$B:$B,"技巧")*IFERROR(SUMIFS(Coefficients!$F:$F,Coefficients!$A:$A,$B6,Coefficients!$B:$B,"技巧"),1))</f>
      </c>
      <c r="F6">
        <f>IF($A6="","",SUMIFS(StandardParams!$C:$C,StandardParams!$B:$B,"根骨")*IFERROR(SUMIFS(Coefficients!$C:$C,Coefficients!$A:$A,$B6,Coefficients!$B:$B,"根骨"),1)+SUMIFS(StandardParams!$D:$D,StandardParams!$B:$B,"根骨")*IFERROR(SUMIFS(Coefficients!$D:$D,Coefficients!$A:$A,$B6,Coefficients!$B:$B,"根骨"),1)*SUMIFS(TestCases!$D:$D,TestCases!$A:$A,$A6)*SUMIFS(StandardParams!$E:$E,StandardParams!$B:$B,"根骨")*IFERROR(SUMIFS(Coefficients!$E:$E,Coefficients!$A:$A,$B6,Coefficients!$B:$B,"根骨"),1)+SUMIFS(StandardParams!$F:$F,StandardParams!$B:$B,"根骨")*IFERROR(SUMIFS(Coefficients!$F:$F,Coefficients!$A:$A,$B6,Coefficients!$B:$B,"根骨"),1))</f>
      </c>
      <c r="G6">
        <f>IF($A6="","",SUMIFS(StandardParams!$C:$C,StandardParams!$B:$B,"内息")*IFERROR(SUMIFS(Coefficients!$C:$C,Coefficients!$A:$A,$B6,Coefficients!$B:$B,"内息"),1)+SUMIFS(StandardParams!$D:$D,StandardParams!$B:$B,"内息")*IFERROR(SUMIFS(Coefficients!$D:$D,Coefficients!$A:$A,$B6,Coefficients!$B:$B,"内息"),1)*SUMIFS(TestCases!$D:$D,TestCases!$A:$A,$A6)*SUMIFS(StandardParams!$E:$E,StandardParams!$B:$B,"内息")*IFERROR(SUMIFS(Coefficients!$E:$E,Coefficients!$A:$A,$B6,Coefficients!$B:$B,"内息"),1)+SUMIFS(StandardParams!$F:$F,StandardParams!$B:$B,"内息")*IFERROR(SUMIFS(Coefficients!$F:$F,Coefficients!$A:$A,$B6,Coefficients!$B:$B,"内息"),1))</f>
      </c>
      <c r="H6">
        <f>IF($A6="","",SUMIFS(StandardParams!$C:$C,StandardParams!$B:$B,"身法")*IFERROR(SUMIFS(Coefficients!$C:$C,Coefficients!$A:$A,$B6,Coefficients!$B:$B,"身法"),1)+SUMIFS(StandardParams!$D:$D,StandardParams!$B:$B,"身法")*IFERROR(SUMIFS(Coefficients!$D:$D,Coefficients!$A:$A,$B6,Coefficients!$B:$B,"身法"),1)*SUMIFS(TestCases!$D:$D,TestCases!$A:$A,$A6)*SUMIFS(StandardParams!$E:$E,StandardParams!$B:$B,"身法")*IFERROR(SUMIFS(Coefficients!$E:$E,Coefficients!$A:$A,$B6,Coefficients!$B:$B,"身法"),1)+SUMIFS(StandardParams!$F:$F,StandardParams!$B:$B,"身法")*IFERROR(SUMIFS(Coefficients!$F:$F,Coefficients!$A:$A,$B6,Coefficients!$B:$B,"身法"),1))</f>
      </c>
      <c r="I6">
        <f>IF($A6="","",SUMIFS(StandardParams!$C:$C,StandardParams!$B:$B,"定力")*IFERROR(SUMIFS(Coefficients!$C:$C,Coefficients!$A:$A,$B6,Coefficients!$B:$B,"定力"),1)+SUMIFS(StandardParams!$D:$D,StandardParams!$B:$B,"定力")*IFERROR(SUMIFS(Coefficients!$D:$D,Coefficients!$A:$A,$B6,Coefficients!$B:$B,"定力"),1)*SUMIFS(TestCases!$D:$D,TestCases!$A:$A,$A6)*SUMIFS(StandardParams!$E:$E,StandardParams!$B:$B,"定力")*IFERROR(SUMIFS(Coefficients!$E:$E,Coefficients!$A:$A,$B6,Coefficients!$B:$B,"定力"),1)+SUMIFS(StandardParams!$F:$F,StandardParams!$B:$B,"定力")*IFERROR(SUMIFS(Coefficients!$F:$F,Coefficients!$A:$A,$B6,Coefficients!$B:$B,"定力"),1))</f>
      </c>
      <c r="J6">
        <f>IF($A6="","",SUMIFS(StandardParams!$C:$C,StandardParams!$B:$B,"攻击")*IFERROR(SUMIFS(Coefficients!$C:$C,Coefficients!$A:$A,$B6,Coefficients!$B:$B,"攻击"),1)+SUMIFS(StandardParams!$D:$D,StandardParams!$B:$B,"攻击")*IFERROR(SUMIFS(Coefficients!$D:$D,Coefficients!$A:$A,$B6,Coefficients!$B:$B,"攻击"),1)*SUMIFS(TestCases!$D:$D,TestCases!$A:$A,$A6)+SUMIFS(StandardParams!$F:$F,StandardParams!$B:$B,"攻击")*IFERROR(SUMIFS(Coefficients!$F:$F,Coefficients!$A:$A,$B6,Coefficients!$B:$B,"攻击"),1)+SUMIFS(EquipPlans!$I:$I,EquipPlans!$A:$A,$C6,EquipPlans!$B:$B,"攻击")+D6*4)</f>
      </c>
      <c r="K6">
        <f>IF($A6="","",SUMIFS(StandardParams!$C:$C,StandardParams!$B:$B,"防御")*IFERROR(SUMIFS(Coefficients!$C:$C,Coefficients!$A:$A,$B6,Coefficients!$B:$B,"防御"),1)+SUMIFS(StandardParams!$D:$D,StandardParams!$B:$B,"防御")*IFERROR(SUMIFS(Coefficients!$D:$D,Coefficients!$A:$A,$B6,Coefficients!$B:$B,"防御"),1)*SUMIFS(TestCases!$D:$D,TestCases!$A:$A,$A6)+SUMIFS(StandardParams!$F:$F,StandardParams!$B:$B,"防御")*IFERROR(SUMIFS(Coefficients!$F:$F,Coefficients!$A:$A,$B6,Coefficients!$B:$B,"防御"),1)+SUMIFS(EquipPlans!$I:$I,EquipPlans!$A:$A,$C6,EquipPlans!$B:$B,"防御"))</f>
      </c>
      <c r="L6">
        <f>IF($A6="","",SUMIFS(StandardParams!$C:$C,StandardParams!$B:$B,"速度")*IFERROR(SUMIFS(Coefficients!$C:$C,Coefficients!$A:$A,$B6,Coefficients!$B:$B,"速度"),1)+SUMIFS(StandardParams!$D:$D,StandardParams!$B:$B,"速度")*IFERROR(SUMIFS(Coefficients!$D:$D,Coefficients!$A:$A,$B6,Coefficients!$B:$B,"速度"),1)*SUMIFS(TestCases!$D:$D,TestCases!$A:$A,$A6)+SUMIFS(StandardParams!$F:$F,StandardParams!$B:$B,"速度")*IFERROR(SUMIFS(Coefficients!$F:$F,Coefficients!$A:$A,$B6,Coefficients!$B:$B,"速度"),1)+SUMIFS(EquipPlans!$I:$I,EquipPlans!$A:$A,$C6,EquipPlans!$B:$B,"速度")+H6*2)</f>
      </c>
      <c r="M6">
        <f>IF($A6="","",SUMIFS(StandardParams!$C:$C,StandardParams!$B:$B,"命中")*IFERROR(SUMIFS(Coefficients!$C:$C,Coefficients!$A:$A,$B6,Coefficients!$B:$B,"命中"),1)+SUMIFS(StandardParams!$D:$D,StandardParams!$B:$B,"命中")*IFERROR(SUMIFS(Coefficients!$D:$D,Coefficients!$A:$A,$B6,Coefficients!$B:$B,"命中"),1)*SUMIFS(TestCases!$D:$D,TestCases!$A:$A,$A6)+SUMIFS(StandardParams!$F:$F,StandardParams!$B:$B,"命中")*IFERROR(SUMIFS(Coefficients!$F:$F,Coefficients!$A:$A,$B6,Coefficients!$B:$B,"命中"),1)+SUMIFS(EquipPlans!$I:$I,EquipPlans!$A:$A,$C6,EquipPlans!$B:$B,"命中")+E6*2)</f>
      </c>
      <c r="N6">
        <f>IF($A6="","",SUMIFS(StandardParams!$C:$C,StandardParams!$B:$B,"招架")*IFERROR(SUMIFS(Coefficients!$C:$C,Coefficients!$A:$A,$B6,Coefficients!$B:$B,"招架"),1)+SUMIFS(StandardParams!$D:$D,StandardParams!$B:$B,"招架")*IFERROR(SUMIFS(Coefficients!$D:$D,Coefficients!$A:$A,$B6,Coefficients!$B:$B,"招架"),1)*SUMIFS(TestCases!$D:$D,TestCases!$A:$A,$A6)+SUMIFS(StandardParams!$F:$F,StandardParams!$B:$B,"招架")*IFERROR(SUMIFS(Coefficients!$F:$F,Coefficients!$A:$A,$B6,Coefficients!$B:$B,"招架"),1)+SUMIFS(EquipPlans!$I:$I,EquipPlans!$A:$A,$C6,EquipPlans!$B:$B,"招架")+E6*2)</f>
      </c>
      <c r="O6">
        <f>IF($A6="","",SUMIFS(StandardParams!$C:$C,StandardParams!$B:$B,"偏斜")*IFERROR(SUMIFS(Coefficients!$C:$C,Coefficients!$A:$A,$B6,Coefficients!$B:$B,"偏斜"),1)+SUMIFS(StandardParams!$D:$D,StandardParams!$B:$B,"偏斜")*IFERROR(SUMIFS(Coefficients!$D:$D,Coefficients!$A:$A,$B6,Coefficients!$B:$B,"偏斜"),1)*SUMIFS(TestCases!$D:$D,TestCases!$A:$A,$A6)+SUMIFS(StandardParams!$F:$F,StandardParams!$B:$B,"偏斜")*IFERROR(SUMIFS(Coefficients!$F:$F,Coefficients!$A:$A,$B6,Coefficients!$B:$B,"偏斜"),1)+SUMIFS(EquipPlans!$I:$I,EquipPlans!$A:$A,$C6,EquipPlans!$B:$B,"偏斜")+H6*2)</f>
      </c>
      <c r="P6">
        <f>IF($A6="","",SUMIFS(StandardParams!$C:$C,StandardParams!$B:$B,"抵抗")*IFERROR(SUMIFS(Coefficients!$C:$C,Coefficients!$A:$A,$B6,Coefficients!$B:$B,"抵抗"),1)+SUMIFS(StandardParams!$D:$D,StandardParams!$B:$B,"抵抗")*IFERROR(SUMIFS(Coefficients!$D:$D,Coefficients!$A:$A,$B6,Coefficients!$B:$B,"抵抗"),1)*SUMIFS(TestCases!$D:$D,TestCases!$A:$A,$A6)+SUMIFS(StandardParams!$F:$F,StandardParams!$B:$B,"抵抗")*IFERROR(SUMIFS(Coefficients!$F:$F,Coefficients!$A:$A,$B6,Coefficients!$B:$B,"抵抗"),1)+SUMIFS(EquipPlans!$I:$I,EquipPlans!$A:$A,$C6,EquipPlans!$B:$B,"抵抗")+I6*2.5)</f>
      </c>
      <c r="Q6">
        <f>IF($A6="","",SUMIFS(StandardParams!$C:$C,StandardParams!$B:$B,"韧性")*IFERROR(SUMIFS(Coefficients!$C:$C,Coefficients!$A:$A,$B6,Coefficients!$B:$B,"韧性"),1)+SUMIFS(StandardParams!$D:$D,StandardParams!$B:$B,"韧性")*IFERROR(SUMIFS(Coefficients!$D:$D,Coefficients!$A:$A,$B6,Coefficients!$B:$B,"韧性"),1)*SUMIFS(TestCases!$D:$D,TestCases!$A:$A,$A6)+SUMIFS(StandardParams!$F:$F,StandardParams!$B:$B,"韧性")*IFERROR(SUMIFS(Coefficients!$F:$F,Coefficients!$A:$A,$B6,Coefficients!$B:$B,"韧性"),1)+SUMIFS(EquipPlans!$I:$I,EquipPlans!$A:$A,$C6,EquipPlans!$B:$B,"韧性")+F6)</f>
      </c>
      <c r="R6">
        <f>IF($A6="","",SUMIFS(StandardParams!$C:$C,StandardParams!$B:$B,"气血")*IFERROR(SUMIFS(Coefficients!$C:$C,Coefficients!$A:$A,$B6,Coefficients!$B:$B,"气血"),1)+SUMIFS(StandardParams!$D:$D,StandardParams!$B:$B,"气血")*IFERROR(SUMIFS(Coefficients!$D:$D,Coefficients!$A:$A,$B6,Coefficients!$B:$B,"气血"),1)*SUMIFS(TestCases!$D:$D,TestCases!$A:$A,$A6)+SUMIFS(StandardParams!$F:$F,StandardParams!$B:$B,"气血")*IFERROR(SUMIFS(Coefficients!$F:$F,Coefficients!$A:$A,$B6,Coefficients!$B:$B,"气血"),1)+SUMIFS(EquipPlans!$I:$I,EquipPlans!$A:$A,$C6,EquipPlans!$B:$B,"气血")+F6*20)</f>
      </c>
      <c r="S6">
        <f>IF($A6="","",SUMIFS(StandardParams!$C:$C,StandardParams!$B:$B,"内力")*IFERROR(SUMIFS(Coefficients!$C:$C,Coefficients!$A:$A,$B6,Coefficients!$B:$B,"内力"),1)+SUMIFS(StandardParams!$D:$D,StandardParams!$B:$B,"内力")*IFERROR(SUMIFS(Coefficients!$D:$D,Coefficients!$A:$A,$B6,Coefficients!$B:$B,"内力"),1)*SUMIFS(TestCases!$D:$D,TestCases!$A:$A,$A6)+SUMIFS(StandardParams!$F:$F,StandardParams!$B:$B,"内力")*IFERROR(SUMIFS(Coefficients!$F:$F,Coefficients!$A:$A,$B6,Coefficients!$B:$B,"内力"),1)+SUMIFS(EquipPlans!$I:$I,EquipPlans!$A:$A,$C6,EquipPlans!$B:$B,"内力")+G6*10)</f>
      </c>
      <c r="T6">
        <f>IF($A6="","",SUMIFS(StandardParams!$C:$C,StandardParams!$B:$B,"内力回复")*IFERROR(SUMIFS(Coefficients!$C:$C,Coefficients!$A:$A,$B6,Coefficients!$B:$B,"内力回复"),1)+SUMIFS(StandardParams!$D:$D,StandardParams!$B:$B,"内力回复")*IFERROR(SUMIFS(Coefficients!$D:$D,Coefficients!$A:$A,$B6,Coefficients!$B:$B,"内力回复"),1)*SUMIFS(TestCases!$D:$D,TestCases!$A:$A,$A6)+SUMIFS(StandardParams!$F:$F,StandardParams!$B:$B,"内力回复")*IFERROR(SUMIFS(Coefficients!$F:$F,Coefficients!$A:$A,$B6,Coefficients!$B:$B,"内力回复"),1)+SUMIFS(EquipPlans!$I:$I,EquipPlans!$A:$A,$C6,EquipPlans!$B:$B,"内力回复")+G6*0.5)</f>
      </c>
      <c r="U6">
        <f>IF($A6="","",SUMIFS(StandardParams!$C:$C,StandardParams!$B:$B,"气血恢复")*IFERROR(SUMIFS(Coefficients!$C:$C,Coefficients!$A:$A,$B6,Coefficients!$B:$B,"气血恢复"),1)+SUMIFS(StandardParams!$D:$D,StandardParams!$B:$B,"气血恢复")*IFERROR(SUMIFS(Coefficients!$D:$D,Coefficients!$A:$A,$B6,Coefficients!$B:$B,"气血恢复"),1)*SUMIFS(TestCases!$D:$D,TestCases!$A:$A,$A6)+SUMIFS(StandardParams!$F:$F,StandardParams!$B:$B,"气血恢复")*IFERROR(SUMIFS(Coefficients!$F:$F,Coefficients!$A:$A,$B6,Coefficients!$B:$B,"气血恢复"),1)+SUMIFS(EquipPlans!$I:$I,EquipPlans!$A:$A,$C6,EquipPlans!$B:$B,"气血恢复"))</f>
      </c>
      <c r="V6">
        <f>IF($A6="","",L6/(N6+L6+500))</f>
      </c>
      <c r="W6">
        <f>IF($A6="","",M6/(O6+M6+500))</f>
      </c>
      <c r="X6">
        <f>IF($A6="","",K6/(J6+K6))</f>
      </c>
    </row>
    <row r="7">
      <c r="A7">
        <f>IF(TestCases!A7="","",TestCases!A7)</f>
      </c>
      <c r="B7">
        <f>IF($A7="","",TestCases!B7)</f>
      </c>
      <c r="C7">
        <f>IF($A7="","",TestCases!C7)</f>
      </c>
      <c r="D7">
        <f>IF($A7="","",SUMIFS(StandardParams!$C:$C,StandardParams!$B:$B,"臂力")*IFERROR(SUMIFS(Coefficients!$C:$C,Coefficients!$A:$A,$B7,Coefficients!$B:$B,"臂力"),1)+SUMIFS(StandardParams!$D:$D,StandardParams!$B:$B,"臂力")*IFERROR(SUMIFS(Coefficients!$D:$D,Coefficients!$A:$A,$B7,Coefficients!$B:$B,"臂力"),1)*SUMIFS(TestCases!$D:$D,TestCases!$A:$A,$A7)*SUMIFS(StandardParams!$E:$E,StandardParams!$B:$B,"臂力")*IFERROR(SUMIFS(Coefficients!$E:$E,Coefficients!$A:$A,$B7,Coefficients!$B:$B,"臂力"),1)+SUMIFS(StandardParams!$F:$F,StandardParams!$B:$B,"臂力")*IFERROR(SUMIFS(Coefficients!$F:$F,Coefficients!$A:$A,$B7,Coefficients!$B:$B,"臂力"),1))</f>
      </c>
      <c r="E7">
        <f>IF($A7="","",SUMIFS(StandardParams!$C:$C,StandardParams!$B:$B,"技巧")*IFERROR(SUMIFS(Coefficients!$C:$C,Coefficients!$A:$A,$B7,Coefficients!$B:$B,"技巧"),1)+SUMIFS(StandardParams!$D:$D,StandardParams!$B:$B,"技巧")*IFERROR(SUMIFS(Coefficients!$D:$D,Coefficients!$A:$A,$B7,Coefficients!$B:$B,"技巧"),1)*SUMIFS(TestCases!$D:$D,TestCases!$A:$A,$A7)*SUMIFS(StandardParams!$E:$E,StandardParams!$B:$B,"技巧")*IFERROR(SUMIFS(Coefficients!$E:$E,Coefficients!$A:$A,$B7,Coefficients!$B:$B,"技巧"),1)+SUMIFS(StandardParams!$F:$F,StandardParams!$B:$B,"技巧")*IFERROR(SUMIFS(Coefficients!$F:$F,Coefficients!$A:$A,$B7,Coefficients!$B:$B,"技巧"),1))</f>
      </c>
      <c r="F7">
        <f>IF($A7="","",SUMIFS(StandardParams!$C:$C,StandardParams!$B:$B,"根骨")*IFERROR(SUMIFS(Coefficients!$C:$C,Coefficients!$A:$A,$B7,Coefficients!$B:$B,"根骨"),1)+SUMIFS(StandardParams!$D:$D,StandardParams!$B:$B,"根骨")*IFERROR(SUMIFS(Coefficients!$D:$D,Coefficients!$A:$A,$B7,Coefficients!$B:$B,"根骨"),1)*SUMIFS(TestCases!$D:$D,TestCases!$A:$A,$A7)*SUMIFS(StandardParams!$E:$E,StandardParams!$B:$B,"根骨")*IFERROR(SUMIFS(Coefficients!$E:$E,Coefficients!$A:$A,$B7,Coefficients!$B:$B,"根骨"),1)+SUMIFS(StandardParams!$F:$F,StandardParams!$B:$B,"根骨")*IFERROR(SUMIFS(Coefficients!$F:$F,Coefficients!$A:$A,$B7,Coefficients!$B:$B,"根骨"),1))</f>
      </c>
      <c r="G7">
        <f>IF($A7="","",SUMIFS(StandardParams!$C:$C,StandardParams!$B:$B,"内息")*IFERROR(SUMIFS(Coefficients!$C:$C,Coefficients!$A:$A,$B7,Coefficients!$B:$B,"内息"),1)+SUMIFS(StandardParams!$D:$D,StandardParams!$B:$B,"内息")*IFERROR(SUMIFS(Coefficients!$D:$D,Coefficients!$A:$A,$B7,Coefficients!$B:$B,"内息"),1)*SUMIFS(TestCases!$D:$D,TestCases!$A:$A,$A7)*SUMIFS(StandardParams!$E:$E,StandardParams!$B:$B,"内息")*IFERROR(SUMIFS(Coefficients!$E:$E,Coefficients!$A:$A,$B7,Coefficients!$B:$B,"内息"),1)+SUMIFS(StandardParams!$F:$F,StandardParams!$B:$B,"内息")*IFERROR(SUMIFS(Coefficients!$F:$F,Coefficients!$A:$A,$B7,Coefficients!$B:$B,"内息"),1))</f>
      </c>
      <c r="H7">
        <f>IF($A7="","",SUMIFS(StandardParams!$C:$C,StandardParams!$B:$B,"身法")*IFERROR(SUMIFS(Coefficients!$C:$C,Coefficients!$A:$A,$B7,Coefficients!$B:$B,"身法"),1)+SUMIFS(StandardParams!$D:$D,StandardParams!$B:$B,"身法")*IFERROR(SUMIFS(Coefficients!$D:$D,Coefficients!$A:$A,$B7,Coefficients!$B:$B,"身法"),1)*SUMIFS(TestCases!$D:$D,TestCases!$A:$A,$A7)*SUMIFS(StandardParams!$E:$E,StandardParams!$B:$B,"身法")*IFERROR(SUMIFS(Coefficients!$E:$E,Coefficients!$A:$A,$B7,Coefficients!$B:$B,"身法"),1)+SUMIFS(StandardParams!$F:$F,StandardParams!$B:$B,"身法")*IFERROR(SUMIFS(Coefficients!$F:$F,Coefficients!$A:$A,$B7,Coefficients!$B:$B,"身法"),1))</f>
      </c>
      <c r="I7">
        <f>IF($A7="","",SUMIFS(StandardParams!$C:$C,StandardParams!$B:$B,"定力")*IFERROR(SUMIFS(Coefficients!$C:$C,Coefficients!$A:$A,$B7,Coefficients!$B:$B,"定力"),1)+SUMIFS(StandardParams!$D:$D,StandardParams!$B:$B,"定力")*IFERROR(SUMIFS(Coefficients!$D:$D,Coefficients!$A:$A,$B7,Coefficients!$B:$B,"定力"),1)*SUMIFS(TestCases!$D:$D,TestCases!$A:$A,$A7)*SUMIFS(StandardParams!$E:$E,StandardParams!$B:$B,"定力")*IFERROR(SUMIFS(Coefficients!$E:$E,Coefficients!$A:$A,$B7,Coefficients!$B:$B,"定力"),1)+SUMIFS(StandardParams!$F:$F,StandardParams!$B:$B,"定力")*IFERROR(SUMIFS(Coefficients!$F:$F,Coefficients!$A:$A,$B7,Coefficients!$B:$B,"定力"),1))</f>
      </c>
      <c r="J7">
        <f>IF($A7="","",SUMIFS(StandardParams!$C:$C,StandardParams!$B:$B,"攻击")*IFERROR(SUMIFS(Coefficients!$C:$C,Coefficients!$A:$A,$B7,Coefficients!$B:$B,"攻击"),1)+SUMIFS(StandardParams!$D:$D,StandardParams!$B:$B,"攻击")*IFERROR(SUMIFS(Coefficients!$D:$D,Coefficients!$A:$A,$B7,Coefficients!$B:$B,"攻击"),1)*SUMIFS(TestCases!$D:$D,TestCases!$A:$A,$A7)+SUMIFS(StandardParams!$F:$F,StandardParams!$B:$B,"攻击")*IFERROR(SUMIFS(Coefficients!$F:$F,Coefficients!$A:$A,$B7,Coefficients!$B:$B,"攻击"),1)+SUMIFS(EquipPlans!$I:$I,EquipPlans!$A:$A,$C7,EquipPlans!$B:$B,"攻击")+D7*4)</f>
      </c>
      <c r="K7">
        <f>IF($A7="","",SUMIFS(StandardParams!$C:$C,StandardParams!$B:$B,"防御")*IFERROR(SUMIFS(Coefficients!$C:$C,Coefficients!$A:$A,$B7,Coefficients!$B:$B,"防御"),1)+SUMIFS(StandardParams!$D:$D,StandardParams!$B:$B,"防御")*IFERROR(SUMIFS(Coefficients!$D:$D,Coefficients!$A:$A,$B7,Coefficients!$B:$B,"防御"),1)*SUMIFS(TestCases!$D:$D,TestCases!$A:$A,$A7)+SUMIFS(StandardParams!$F:$F,StandardParams!$B:$B,"防御")*IFERROR(SUMIFS(Coefficients!$F:$F,Coefficients!$A:$A,$B7,Coefficients!$B:$B,"防御"),1)+SUMIFS(EquipPlans!$I:$I,EquipPlans!$A:$A,$C7,EquipPlans!$B:$B,"防御"))</f>
      </c>
      <c r="L7">
        <f>IF($A7="","",SUMIFS(StandardParams!$C:$C,StandardParams!$B:$B,"速度")*IFERROR(SUMIFS(Coefficients!$C:$C,Coefficients!$A:$A,$B7,Coefficients!$B:$B,"速度"),1)+SUMIFS(StandardParams!$D:$D,StandardParams!$B:$B,"速度")*IFERROR(SUMIFS(Coefficients!$D:$D,Coefficients!$A:$A,$B7,Coefficients!$B:$B,"速度"),1)*SUMIFS(TestCases!$D:$D,TestCases!$A:$A,$A7)+SUMIFS(StandardParams!$F:$F,StandardParams!$B:$B,"速度")*IFERROR(SUMIFS(Coefficients!$F:$F,Coefficients!$A:$A,$B7,Coefficients!$B:$B,"速度"),1)+SUMIFS(EquipPlans!$I:$I,EquipPlans!$A:$A,$C7,EquipPlans!$B:$B,"速度")+H7*2)</f>
      </c>
      <c r="M7">
        <f>IF($A7="","",SUMIFS(StandardParams!$C:$C,StandardParams!$B:$B,"命中")*IFERROR(SUMIFS(Coefficients!$C:$C,Coefficients!$A:$A,$B7,Coefficients!$B:$B,"命中"),1)+SUMIFS(StandardParams!$D:$D,StandardParams!$B:$B,"命中")*IFERROR(SUMIFS(Coefficients!$D:$D,Coefficients!$A:$A,$B7,Coefficients!$B:$B,"命中"),1)*SUMIFS(TestCases!$D:$D,TestCases!$A:$A,$A7)+SUMIFS(StandardParams!$F:$F,StandardParams!$B:$B,"命中")*IFERROR(SUMIFS(Coefficients!$F:$F,Coefficients!$A:$A,$B7,Coefficients!$B:$B,"命中"),1)+SUMIFS(EquipPlans!$I:$I,EquipPlans!$A:$A,$C7,EquipPlans!$B:$B,"命中")+E7*2)</f>
      </c>
      <c r="N7">
        <f>IF($A7="","",SUMIFS(StandardParams!$C:$C,StandardParams!$B:$B,"招架")*IFERROR(SUMIFS(Coefficients!$C:$C,Coefficients!$A:$A,$B7,Coefficients!$B:$B,"招架"),1)+SUMIFS(StandardParams!$D:$D,StandardParams!$B:$B,"招架")*IFERROR(SUMIFS(Coefficients!$D:$D,Coefficients!$A:$A,$B7,Coefficients!$B:$B,"招架"),1)*SUMIFS(TestCases!$D:$D,TestCases!$A:$A,$A7)+SUMIFS(StandardParams!$F:$F,StandardParams!$B:$B,"招架")*IFERROR(SUMIFS(Coefficients!$F:$F,Coefficients!$A:$A,$B7,Coefficients!$B:$B,"招架"),1)+SUMIFS(EquipPlans!$I:$I,EquipPlans!$A:$A,$C7,EquipPlans!$B:$B,"招架")+E7*2)</f>
      </c>
      <c r="O7">
        <f>IF($A7="","",SUMIFS(StandardParams!$C:$C,StandardParams!$B:$B,"偏斜")*IFERROR(SUMIFS(Coefficients!$C:$C,Coefficients!$A:$A,$B7,Coefficients!$B:$B,"偏斜"),1)+SUMIFS(StandardParams!$D:$D,StandardParams!$B:$B,"偏斜")*IFERROR(SUMIFS(Coefficients!$D:$D,Coefficients!$A:$A,$B7,Coefficients!$B:$B,"偏斜"),1)*SUMIFS(TestCases!$D:$D,TestCases!$A:$A,$A7)+SUMIFS(StandardParams!$F:$F,StandardParams!$B:$B,"偏斜")*IFERROR(SUMIFS(Coefficients!$F:$F,Coefficients!$A:$A,$B7,Coefficients!$B:$B,"偏斜"),1)+SUMIFS(EquipPlans!$I:$I,EquipPlans!$A:$A,$C7,EquipPlans!$B:$B,"偏斜")+H7*2)</f>
      </c>
      <c r="P7">
        <f>IF($A7="","",SUMIFS(StandardParams!$C:$C,StandardParams!$B:$B,"抵抗")*IFERROR(SUMIFS(Coefficients!$C:$C,Coefficients!$A:$A,$B7,Coefficients!$B:$B,"抵抗"),1)+SUMIFS(StandardParams!$D:$D,StandardParams!$B:$B,"抵抗")*IFERROR(SUMIFS(Coefficients!$D:$D,Coefficients!$A:$A,$B7,Coefficients!$B:$B,"抵抗"),1)*SUMIFS(TestCases!$D:$D,TestCases!$A:$A,$A7)+SUMIFS(StandardParams!$F:$F,StandardParams!$B:$B,"抵抗")*IFERROR(SUMIFS(Coefficients!$F:$F,Coefficients!$A:$A,$B7,Coefficients!$B:$B,"抵抗"),1)+SUMIFS(EquipPlans!$I:$I,EquipPlans!$A:$A,$C7,EquipPlans!$B:$B,"抵抗")+I7*2.5)</f>
      </c>
      <c r="Q7">
        <f>IF($A7="","",SUMIFS(StandardParams!$C:$C,StandardParams!$B:$B,"韧性")*IFERROR(SUMIFS(Coefficients!$C:$C,Coefficients!$A:$A,$B7,Coefficients!$B:$B,"韧性"),1)+SUMIFS(StandardParams!$D:$D,StandardParams!$B:$B,"韧性")*IFERROR(SUMIFS(Coefficients!$D:$D,Coefficients!$A:$A,$B7,Coefficients!$B:$B,"韧性"),1)*SUMIFS(TestCases!$D:$D,TestCases!$A:$A,$A7)+SUMIFS(StandardParams!$F:$F,StandardParams!$B:$B,"韧性")*IFERROR(SUMIFS(Coefficients!$F:$F,Coefficients!$A:$A,$B7,Coefficients!$B:$B,"韧性"),1)+SUMIFS(EquipPlans!$I:$I,EquipPlans!$A:$A,$C7,EquipPlans!$B:$B,"韧性")+F7)</f>
      </c>
      <c r="R7">
        <f>IF($A7="","",SUMIFS(StandardParams!$C:$C,StandardParams!$B:$B,"气血")*IFERROR(SUMIFS(Coefficients!$C:$C,Coefficients!$A:$A,$B7,Coefficients!$B:$B,"气血"),1)+SUMIFS(StandardParams!$D:$D,StandardParams!$B:$B,"气血")*IFERROR(SUMIFS(Coefficients!$D:$D,Coefficients!$A:$A,$B7,Coefficients!$B:$B,"气血"),1)*SUMIFS(TestCases!$D:$D,TestCases!$A:$A,$A7)+SUMIFS(StandardParams!$F:$F,StandardParams!$B:$B,"气血")*IFERROR(SUMIFS(Coefficients!$F:$F,Coefficients!$A:$A,$B7,Coefficients!$B:$B,"气血"),1)+SUMIFS(EquipPlans!$I:$I,EquipPlans!$A:$A,$C7,EquipPlans!$B:$B,"气血")+F7*20)</f>
      </c>
      <c r="S7">
        <f>IF($A7="","",SUMIFS(StandardParams!$C:$C,StandardParams!$B:$B,"内力")*IFERROR(SUMIFS(Coefficients!$C:$C,Coefficients!$A:$A,$B7,Coefficients!$B:$B,"内力"),1)+SUMIFS(StandardParams!$D:$D,StandardParams!$B:$B,"内力")*IFERROR(SUMIFS(Coefficients!$D:$D,Coefficients!$A:$A,$B7,Coefficients!$B:$B,"内力"),1)*SUMIFS(TestCases!$D:$D,TestCases!$A:$A,$A7)+SUMIFS(StandardParams!$F:$F,StandardParams!$B:$B,"内力")*IFERROR(SUMIFS(Coefficients!$F:$F,Coefficients!$A:$A,$B7,Coefficients!$B:$B,"内力"),1)+SUMIFS(EquipPlans!$I:$I,EquipPlans!$A:$A,$C7,EquipPlans!$B:$B,"内力")+G7*10)</f>
      </c>
      <c r="T7">
        <f>IF($A7="","",SUMIFS(StandardParams!$C:$C,StandardParams!$B:$B,"内力回复")*IFERROR(SUMIFS(Coefficients!$C:$C,Coefficients!$A:$A,$B7,Coefficients!$B:$B,"内力回复"),1)+SUMIFS(StandardParams!$D:$D,StandardParams!$B:$B,"内力回复")*IFERROR(SUMIFS(Coefficients!$D:$D,Coefficients!$A:$A,$B7,Coefficients!$B:$B,"内力回复"),1)*SUMIFS(TestCases!$D:$D,TestCases!$A:$A,$A7)+SUMIFS(StandardParams!$F:$F,StandardParams!$B:$B,"内力回复")*IFERROR(SUMIFS(Coefficients!$F:$F,Coefficients!$A:$A,$B7,Coefficients!$B:$B,"内力回复"),1)+SUMIFS(EquipPlans!$I:$I,EquipPlans!$A:$A,$C7,EquipPlans!$B:$B,"内力回复")+G7*0.5)</f>
      </c>
      <c r="U7">
        <f>IF($A7="","",SUMIFS(StandardParams!$C:$C,StandardParams!$B:$B,"气血恢复")*IFERROR(SUMIFS(Coefficients!$C:$C,Coefficients!$A:$A,$B7,Coefficients!$B:$B,"气血恢复"),1)+SUMIFS(StandardParams!$D:$D,StandardParams!$B:$B,"气血恢复")*IFERROR(SUMIFS(Coefficients!$D:$D,Coefficients!$A:$A,$B7,Coefficients!$B:$B,"气血恢复"),1)*SUMIFS(TestCases!$D:$D,TestCases!$A:$A,$A7)+SUMIFS(StandardParams!$F:$F,StandardParams!$B:$B,"气血恢复")*IFERROR(SUMIFS(Coefficients!$F:$F,Coefficients!$A:$A,$B7,Coefficients!$B:$B,"气血恢复"),1)+SUMIFS(EquipPlans!$I:$I,EquipPlans!$A:$A,$C7,EquipPlans!$B:$B,"气血恢复"))</f>
      </c>
      <c r="V7">
        <f>IF($A7="","",L7/(N7+L7+500))</f>
      </c>
      <c r="W7">
        <f>IF($A7="","",M7/(O7+M7+500))</f>
      </c>
      <c r="X7">
        <f>IF($A7="","",K7/(J7+K7))</f>
      </c>
    </row>
    <row r="8">
      <c r="A8">
        <f>IF(TestCases!A8="","",TestCases!A8)</f>
      </c>
      <c r="B8">
        <f>IF($A8="","",TestCases!B8)</f>
      </c>
      <c r="C8">
        <f>IF($A8="","",TestCases!C8)</f>
      </c>
      <c r="D8">
        <f>IF($A8="","",SUMIFS(StandardParams!$C:$C,StandardParams!$B:$B,"臂力")*IFERROR(SUMIFS(Coefficients!$C:$C,Coefficients!$A:$A,$B8,Coefficients!$B:$B,"臂力"),1)+SUMIFS(StandardParams!$D:$D,StandardParams!$B:$B,"臂力")*IFERROR(SUMIFS(Coefficients!$D:$D,Coefficients!$A:$A,$B8,Coefficients!$B:$B,"臂力"),1)*SUMIFS(TestCases!$D:$D,TestCases!$A:$A,$A8)*SUMIFS(StandardParams!$E:$E,StandardParams!$B:$B,"臂力")*IFERROR(SUMIFS(Coefficients!$E:$E,Coefficients!$A:$A,$B8,Coefficients!$B:$B,"臂力"),1)+SUMIFS(StandardParams!$F:$F,StandardParams!$B:$B,"臂力")*IFERROR(SUMIFS(Coefficients!$F:$F,Coefficients!$A:$A,$B8,Coefficients!$B:$B,"臂力"),1))</f>
      </c>
      <c r="E8">
        <f>IF($A8="","",SUMIFS(StandardParams!$C:$C,StandardParams!$B:$B,"技巧")*IFERROR(SUMIFS(Coefficients!$C:$C,Coefficients!$A:$A,$B8,Coefficients!$B:$B,"技巧"),1)+SUMIFS(StandardParams!$D:$D,StandardParams!$B:$B,"技巧")*IFERROR(SUMIFS(Coefficients!$D:$D,Coefficients!$A:$A,$B8,Coefficients!$B:$B,"技巧"),1)*SUMIFS(TestCases!$D:$D,TestCases!$A:$A,$A8)*SUMIFS(StandardParams!$E:$E,StandardParams!$B:$B,"技巧")*IFERROR(SUMIFS(Coefficients!$E:$E,Coefficients!$A:$A,$B8,Coefficients!$B:$B,"技巧"),1)+SUMIFS(StandardParams!$F:$F,StandardParams!$B:$B,"技巧")*IFERROR(SUMIFS(Coefficients!$F:$F,Coefficients!$A:$A,$B8,Coefficients!$B:$B,"技巧"),1))</f>
      </c>
      <c r="F8">
        <f>IF($A8="","",SUMIFS(StandardParams!$C:$C,StandardParams!$B:$B,"根骨")*IFERROR(SUMIFS(Coefficients!$C:$C,Coefficients!$A:$A,$B8,Coefficients!$B:$B,"根骨"),1)+SUMIFS(StandardParams!$D:$D,StandardParams!$B:$B,"根骨")*IFERROR(SUMIFS(Coefficients!$D:$D,Coefficients!$A:$A,$B8,Coefficients!$B:$B,"根骨"),1)*SUMIFS(TestCases!$D:$D,TestCases!$A:$A,$A8)*SUMIFS(StandardParams!$E:$E,StandardParams!$B:$B,"根骨")*IFERROR(SUMIFS(Coefficients!$E:$E,Coefficients!$A:$A,$B8,Coefficients!$B:$B,"根骨"),1)+SUMIFS(StandardParams!$F:$F,StandardParams!$B:$B,"根骨")*IFERROR(SUMIFS(Coefficients!$F:$F,Coefficients!$A:$A,$B8,Coefficients!$B:$B,"根骨"),1))</f>
      </c>
      <c r="G8">
        <f>IF($A8="","",SUMIFS(StandardParams!$C:$C,StandardParams!$B:$B,"内息")*IFERROR(SUMIFS(Coefficients!$C:$C,Coefficients!$A:$A,$B8,Coefficients!$B:$B,"内息"),1)+SUMIFS(StandardParams!$D:$D,StandardParams!$B:$B,"内息")*IFERROR(SUMIFS(Coefficients!$D:$D,Coefficients!$A:$A,$B8,Coefficients!$B:$B,"内息"),1)*SUMIFS(TestCases!$D:$D,TestCases!$A:$A,$A8)*SUMIFS(StandardParams!$E:$E,StandardParams!$B:$B,"内息")*IFERROR(SUMIFS(Coefficients!$E:$E,Coefficients!$A:$A,$B8,Coefficients!$B:$B,"内息"),1)+SUMIFS(StandardParams!$F:$F,StandardParams!$B:$B,"内息")*IFERROR(SUMIFS(Coefficients!$F:$F,Coefficients!$A:$A,$B8,Coefficients!$B:$B,"内息"),1))</f>
      </c>
      <c r="H8">
        <f>IF($A8="","",SUMIFS(StandardParams!$C:$C,StandardParams!$B:$B,"身法")*IFERROR(SUMIFS(Coefficients!$C:$C,Coefficients!$A:$A,$B8,Coefficients!$B:$B,"身法"),1)+SUMIFS(StandardParams!$D:$D,StandardParams!$B:$B,"身法")*IFERROR(SUMIFS(Coefficients!$D:$D,Coefficients!$A:$A,$B8,Coefficients!$B:$B,"身法"),1)*SUMIFS(TestCases!$D:$D,TestCases!$A:$A,$A8)*SUMIFS(StandardParams!$E:$E,StandardParams!$B:$B,"身法")*IFERROR(SUMIFS(Coefficients!$E:$E,Coefficients!$A:$A,$B8,Coefficients!$B:$B,"身法"),1)+SUMIFS(StandardParams!$F:$F,StandardParams!$B:$B,"身法")*IFERROR(SUMIFS(Coefficients!$F:$F,Coefficients!$A:$A,$B8,Coefficients!$B:$B,"身法"),1))</f>
      </c>
      <c r="I8">
        <f>IF($A8="","",SUMIFS(StandardParams!$C:$C,StandardParams!$B:$B,"定力")*IFERROR(SUMIFS(Coefficients!$C:$C,Coefficients!$A:$A,$B8,Coefficients!$B:$B,"定力"),1)+SUMIFS(StandardParams!$D:$D,StandardParams!$B:$B,"定力")*IFERROR(SUMIFS(Coefficients!$D:$D,Coefficients!$A:$A,$B8,Coefficients!$B:$B,"定力"),1)*SUMIFS(TestCases!$D:$D,TestCases!$A:$A,$A8)*SUMIFS(StandardParams!$E:$E,StandardParams!$B:$B,"定力")*IFERROR(SUMIFS(Coefficients!$E:$E,Coefficients!$A:$A,$B8,Coefficients!$B:$B,"定力"),1)+SUMIFS(StandardParams!$F:$F,StandardParams!$B:$B,"定力")*IFERROR(SUMIFS(Coefficients!$F:$F,Coefficients!$A:$A,$B8,Coefficients!$B:$B,"定力"),1))</f>
      </c>
      <c r="J8">
        <f>IF($A8="","",SUMIFS(StandardParams!$C:$C,StandardParams!$B:$B,"攻击")*IFERROR(SUMIFS(Coefficients!$C:$C,Coefficients!$A:$A,$B8,Coefficients!$B:$B,"攻击"),1)+SUMIFS(StandardParams!$D:$D,StandardParams!$B:$B,"攻击")*IFERROR(SUMIFS(Coefficients!$D:$D,Coefficients!$A:$A,$B8,Coefficients!$B:$B,"攻击"),1)*SUMIFS(TestCases!$D:$D,TestCases!$A:$A,$A8)+SUMIFS(StandardParams!$F:$F,StandardParams!$B:$B,"攻击")*IFERROR(SUMIFS(Coefficients!$F:$F,Coefficients!$A:$A,$B8,Coefficients!$B:$B,"攻击"),1)+SUMIFS(EquipPlans!$I:$I,EquipPlans!$A:$A,$C8,EquipPlans!$B:$B,"攻击")+D8*4)</f>
      </c>
      <c r="K8">
        <f>IF($A8="","",SUMIFS(StandardParams!$C:$C,StandardParams!$B:$B,"防御")*IFERROR(SUMIFS(Coefficients!$C:$C,Coefficients!$A:$A,$B8,Coefficients!$B:$B,"防御"),1)+SUMIFS(StandardParams!$D:$D,StandardParams!$B:$B,"防御")*IFERROR(SUMIFS(Coefficients!$D:$D,Coefficients!$A:$A,$B8,Coefficients!$B:$B,"防御"),1)*SUMIFS(TestCases!$D:$D,TestCases!$A:$A,$A8)+SUMIFS(StandardParams!$F:$F,StandardParams!$B:$B,"防御")*IFERROR(SUMIFS(Coefficients!$F:$F,Coefficients!$A:$A,$B8,Coefficients!$B:$B,"防御"),1)+SUMIFS(EquipPlans!$I:$I,EquipPlans!$A:$A,$C8,EquipPlans!$B:$B,"防御"))</f>
      </c>
      <c r="L8">
        <f>IF($A8="","",SUMIFS(StandardParams!$C:$C,StandardParams!$B:$B,"速度")*IFERROR(SUMIFS(Coefficients!$C:$C,Coefficients!$A:$A,$B8,Coefficients!$B:$B,"速度"),1)+SUMIFS(StandardParams!$D:$D,StandardParams!$B:$B,"速度")*IFERROR(SUMIFS(Coefficients!$D:$D,Coefficients!$A:$A,$B8,Coefficients!$B:$B,"速度"),1)*SUMIFS(TestCases!$D:$D,TestCases!$A:$A,$A8)+SUMIFS(StandardParams!$F:$F,StandardParams!$B:$B,"速度")*IFERROR(SUMIFS(Coefficients!$F:$F,Coefficients!$A:$A,$B8,Coefficients!$B:$B,"速度"),1)+SUMIFS(EquipPlans!$I:$I,EquipPlans!$A:$A,$C8,EquipPlans!$B:$B,"速度")+H8*2)</f>
      </c>
      <c r="M8">
        <f>IF($A8="","",SUMIFS(StandardParams!$C:$C,StandardParams!$B:$B,"命中")*IFERROR(SUMIFS(Coefficients!$C:$C,Coefficients!$A:$A,$B8,Coefficients!$B:$B,"命中"),1)+SUMIFS(StandardParams!$D:$D,StandardParams!$B:$B,"命中")*IFERROR(SUMIFS(Coefficients!$D:$D,Coefficients!$A:$A,$B8,Coefficients!$B:$B,"命中"),1)*SUMIFS(TestCases!$D:$D,TestCases!$A:$A,$A8)+SUMIFS(StandardParams!$F:$F,StandardParams!$B:$B,"命中")*IFERROR(SUMIFS(Coefficients!$F:$F,Coefficients!$A:$A,$B8,Coefficients!$B:$B,"命中"),1)+SUMIFS(EquipPlans!$I:$I,EquipPlans!$A:$A,$C8,EquipPlans!$B:$B,"命中")+E8*2)</f>
      </c>
      <c r="N8">
        <f>IF($A8="","",SUMIFS(StandardParams!$C:$C,StandardParams!$B:$B,"招架")*IFERROR(SUMIFS(Coefficients!$C:$C,Coefficients!$A:$A,$B8,Coefficients!$B:$B,"招架"),1)+SUMIFS(StandardParams!$D:$D,StandardParams!$B:$B,"招架")*IFERROR(SUMIFS(Coefficients!$D:$D,Coefficients!$A:$A,$B8,Coefficients!$B:$B,"招架"),1)*SUMIFS(TestCases!$D:$D,TestCases!$A:$A,$A8)+SUMIFS(StandardParams!$F:$F,StandardParams!$B:$B,"招架")*IFERROR(SUMIFS(Coefficients!$F:$F,Coefficients!$A:$A,$B8,Coefficients!$B:$B,"招架"),1)+SUMIFS(EquipPlans!$I:$I,EquipPlans!$A:$A,$C8,EquipPlans!$B:$B,"招架")+E8*2)</f>
      </c>
      <c r="O8">
        <f>IF($A8="","",SUMIFS(StandardParams!$C:$C,StandardParams!$B:$B,"偏斜")*IFERROR(SUMIFS(Coefficients!$C:$C,Coefficients!$A:$A,$B8,Coefficients!$B:$B,"偏斜"),1)+SUMIFS(StandardParams!$D:$D,StandardParams!$B:$B,"偏斜")*IFERROR(SUMIFS(Coefficients!$D:$D,Coefficients!$A:$A,$B8,Coefficients!$B:$B,"偏斜"),1)*SUMIFS(TestCases!$D:$D,TestCases!$A:$A,$A8)+SUMIFS(StandardParams!$F:$F,StandardParams!$B:$B,"偏斜")*IFERROR(SUMIFS(Coefficients!$F:$F,Coefficients!$A:$A,$B8,Coefficients!$B:$B,"偏斜"),1)+SUMIFS(EquipPlans!$I:$I,EquipPlans!$A:$A,$C8,EquipPlans!$B:$B,"偏斜")+H8*2)</f>
      </c>
      <c r="P8">
        <f>IF($A8="","",SUMIFS(StandardParams!$C:$C,StandardParams!$B:$B,"抵抗")*IFERROR(SUMIFS(Coefficients!$C:$C,Coefficients!$A:$A,$B8,Coefficients!$B:$B,"抵抗"),1)+SUMIFS(StandardParams!$D:$D,StandardParams!$B:$B,"抵抗")*IFERROR(SUMIFS(Coefficients!$D:$D,Coefficients!$A:$A,$B8,Coefficients!$B:$B,"抵抗"),1)*SUMIFS(TestCases!$D:$D,TestCases!$A:$A,$A8)+SUMIFS(StandardParams!$F:$F,StandardParams!$B:$B,"抵抗")*IFERROR(SUMIFS(Coefficients!$F:$F,Coefficients!$A:$A,$B8,Coefficients!$B:$B,"抵抗"),1)+SUMIFS(EquipPlans!$I:$I,EquipPlans!$A:$A,$C8,EquipPlans!$B:$B,"抵抗")+I8*2.5)</f>
      </c>
      <c r="Q8">
        <f>IF($A8="","",SUMIFS(StandardParams!$C:$C,StandardParams!$B:$B,"韧性")*IFERROR(SUMIFS(Coefficients!$C:$C,Coefficients!$A:$A,$B8,Coefficients!$B:$B,"韧性"),1)+SUMIFS(StandardParams!$D:$D,StandardParams!$B:$B,"韧性")*IFERROR(SUMIFS(Coefficients!$D:$D,Coefficients!$A:$A,$B8,Coefficients!$B:$B,"韧性"),1)*SUMIFS(TestCases!$D:$D,TestCases!$A:$A,$A8)+SUMIFS(StandardParams!$F:$F,StandardParams!$B:$B,"韧性")*IFERROR(SUMIFS(Coefficients!$F:$F,Coefficients!$A:$A,$B8,Coefficients!$B:$B,"韧性"),1)+SUMIFS(EquipPlans!$I:$I,EquipPlans!$A:$A,$C8,EquipPlans!$B:$B,"韧性")+F8)</f>
      </c>
      <c r="R8">
        <f>IF($A8="","",SUMIFS(StandardParams!$C:$C,StandardParams!$B:$B,"气血")*IFERROR(SUMIFS(Coefficients!$C:$C,Coefficients!$A:$A,$B8,Coefficients!$B:$B,"气血"),1)+SUMIFS(StandardParams!$D:$D,StandardParams!$B:$B,"气血")*IFERROR(SUMIFS(Coefficients!$D:$D,Coefficients!$A:$A,$B8,Coefficients!$B:$B,"气血"),1)*SUMIFS(TestCases!$D:$D,TestCases!$A:$A,$A8)+SUMIFS(StandardParams!$F:$F,StandardParams!$B:$B,"气血")*IFERROR(SUMIFS(Coefficients!$F:$F,Coefficients!$A:$A,$B8,Coefficients!$B:$B,"气血"),1)+SUMIFS(EquipPlans!$I:$I,EquipPlans!$A:$A,$C8,EquipPlans!$B:$B,"气血")+F8*20)</f>
      </c>
      <c r="S8">
        <f>IF($A8="","",SUMIFS(StandardParams!$C:$C,StandardParams!$B:$B,"内力")*IFERROR(SUMIFS(Coefficients!$C:$C,Coefficients!$A:$A,$B8,Coefficients!$B:$B,"内力"),1)+SUMIFS(StandardParams!$D:$D,StandardParams!$B:$B,"内力")*IFERROR(SUMIFS(Coefficients!$D:$D,Coefficients!$A:$A,$B8,Coefficients!$B:$B,"内力"),1)*SUMIFS(TestCases!$D:$D,TestCases!$A:$A,$A8)+SUMIFS(StandardParams!$F:$F,StandardParams!$B:$B,"内力")*IFERROR(SUMIFS(Coefficients!$F:$F,Coefficients!$A:$A,$B8,Coefficients!$B:$B,"内力"),1)+SUMIFS(EquipPlans!$I:$I,EquipPlans!$A:$A,$C8,EquipPlans!$B:$B,"内力")+G8*10)</f>
      </c>
      <c r="T8">
        <f>IF($A8="","",SUMIFS(StandardParams!$C:$C,StandardParams!$B:$B,"内力回复")*IFERROR(SUMIFS(Coefficients!$C:$C,Coefficients!$A:$A,$B8,Coefficients!$B:$B,"内力回复"),1)+SUMIFS(StandardParams!$D:$D,StandardParams!$B:$B,"内力回复")*IFERROR(SUMIFS(Coefficients!$D:$D,Coefficients!$A:$A,$B8,Coefficients!$B:$B,"内力回复"),1)*SUMIFS(TestCases!$D:$D,TestCases!$A:$A,$A8)+SUMIFS(StandardParams!$F:$F,StandardParams!$B:$B,"内力回复")*IFERROR(SUMIFS(Coefficients!$F:$F,Coefficients!$A:$A,$B8,Coefficients!$B:$B,"内力回复"),1)+SUMIFS(EquipPlans!$I:$I,EquipPlans!$A:$A,$C8,EquipPlans!$B:$B,"内力回复")+G8*0.5)</f>
      </c>
      <c r="U8">
        <f>IF($A8="","",SUMIFS(StandardParams!$C:$C,StandardParams!$B:$B,"气血恢复")*IFERROR(SUMIFS(Coefficients!$C:$C,Coefficients!$A:$A,$B8,Coefficients!$B:$B,"气血恢复"),1)+SUMIFS(StandardParams!$D:$D,StandardParams!$B:$B,"气血恢复")*IFERROR(SUMIFS(Coefficients!$D:$D,Coefficients!$A:$A,$B8,Coefficients!$B:$B,"气血恢复"),1)*SUMIFS(TestCases!$D:$D,TestCases!$A:$A,$A8)+SUMIFS(StandardParams!$F:$F,StandardParams!$B:$B,"气血恢复")*IFERROR(SUMIFS(Coefficients!$F:$F,Coefficients!$A:$A,$B8,Coefficients!$B:$B,"气血恢复"),1)+SUMIFS(EquipPlans!$I:$I,EquipPlans!$A:$A,$C8,EquipPlans!$B:$B,"气血恢复"))</f>
      </c>
      <c r="V8">
        <f>IF($A8="","",L8/(N8+L8+500))</f>
      </c>
      <c r="W8">
        <f>IF($A8="","",M8/(O8+M8+500))</f>
      </c>
      <c r="X8">
        <f>IF($A8="","",K8/(J8+K8))</f>
      </c>
    </row>
    <row r="9">
      <c r="A9">
        <f>IF(TestCases!A9="","",TestCases!A9)</f>
      </c>
      <c r="B9">
        <f>IF($A9="","",TestCases!B9)</f>
      </c>
      <c r="C9">
        <f>IF($A9="","",TestCases!C9)</f>
      </c>
      <c r="D9">
        <f>IF($A9="","",SUMIFS(StandardParams!$C:$C,StandardParams!$B:$B,"臂力")*IFERROR(SUMIFS(Coefficients!$C:$C,Coefficients!$A:$A,$B9,Coefficients!$B:$B,"臂力"),1)+SUMIFS(StandardParams!$D:$D,StandardParams!$B:$B,"臂力")*IFERROR(SUMIFS(Coefficients!$D:$D,Coefficients!$A:$A,$B9,Coefficients!$B:$B,"臂力"),1)*SUMIFS(TestCases!$D:$D,TestCases!$A:$A,$A9)*SUMIFS(StandardParams!$E:$E,StandardParams!$B:$B,"臂力")*IFERROR(SUMIFS(Coefficients!$E:$E,Coefficients!$A:$A,$B9,Coefficients!$B:$B,"臂力"),1)+SUMIFS(StandardParams!$F:$F,StandardParams!$B:$B,"臂力")*IFERROR(SUMIFS(Coefficients!$F:$F,Coefficients!$A:$A,$B9,Coefficients!$B:$B,"臂力"),1))</f>
      </c>
      <c r="E9">
        <f>IF($A9="","",SUMIFS(StandardParams!$C:$C,StandardParams!$B:$B,"技巧")*IFERROR(SUMIFS(Coefficients!$C:$C,Coefficients!$A:$A,$B9,Coefficients!$B:$B,"技巧"),1)+SUMIFS(StandardParams!$D:$D,StandardParams!$B:$B,"技巧")*IFERROR(SUMIFS(Coefficients!$D:$D,Coefficients!$A:$A,$B9,Coefficients!$B:$B,"技巧"),1)*SUMIFS(TestCases!$D:$D,TestCases!$A:$A,$A9)*SUMIFS(StandardParams!$E:$E,StandardParams!$B:$B,"技巧")*IFERROR(SUMIFS(Coefficients!$E:$E,Coefficients!$A:$A,$B9,Coefficients!$B:$B,"技巧"),1)+SUMIFS(StandardParams!$F:$F,StandardParams!$B:$B,"技巧")*IFERROR(SUMIFS(Coefficients!$F:$F,Coefficients!$A:$A,$B9,Coefficients!$B:$B,"技巧"),1))</f>
      </c>
      <c r="F9">
        <f>IF($A9="","",SUMIFS(StandardParams!$C:$C,StandardParams!$B:$B,"根骨")*IFERROR(SUMIFS(Coefficients!$C:$C,Coefficients!$A:$A,$B9,Coefficients!$B:$B,"根骨"),1)+SUMIFS(StandardParams!$D:$D,StandardParams!$B:$B,"根骨")*IFERROR(SUMIFS(Coefficients!$D:$D,Coefficients!$A:$A,$B9,Coefficients!$B:$B,"根骨"),1)*SUMIFS(TestCases!$D:$D,TestCases!$A:$A,$A9)*SUMIFS(StandardParams!$E:$E,StandardParams!$B:$B,"根骨")*IFERROR(SUMIFS(Coefficients!$E:$E,Coefficients!$A:$A,$B9,Coefficients!$B:$B,"根骨"),1)+SUMIFS(StandardParams!$F:$F,StandardParams!$B:$B,"根骨")*IFERROR(SUMIFS(Coefficients!$F:$F,Coefficients!$A:$A,$B9,Coefficients!$B:$B,"根骨"),1))</f>
      </c>
      <c r="G9">
        <f>IF($A9="","",SUMIFS(StandardParams!$C:$C,StandardParams!$B:$B,"内息")*IFERROR(SUMIFS(Coefficients!$C:$C,Coefficients!$A:$A,$B9,Coefficients!$B:$B,"内息"),1)+SUMIFS(StandardParams!$D:$D,StandardParams!$B:$B,"内息")*IFERROR(SUMIFS(Coefficients!$D:$D,Coefficients!$A:$A,$B9,Coefficients!$B:$B,"内息"),1)*SUMIFS(TestCases!$D:$D,TestCases!$A:$A,$A9)*SUMIFS(StandardParams!$E:$E,StandardParams!$B:$B,"内息")*IFERROR(SUMIFS(Coefficients!$E:$E,Coefficients!$A:$A,$B9,Coefficients!$B:$B,"内息"),1)+SUMIFS(StandardParams!$F:$F,StandardParams!$B:$B,"内息")*IFERROR(SUMIFS(Coefficients!$F:$F,Coefficients!$A:$A,$B9,Coefficients!$B:$B,"内息"),1))</f>
      </c>
      <c r="H9">
        <f>IF($A9="","",SUMIFS(StandardParams!$C:$C,StandardParams!$B:$B,"身法")*IFERROR(SUMIFS(Coefficients!$C:$C,Coefficients!$A:$A,$B9,Coefficients!$B:$B,"身法"),1)+SUMIFS(StandardParams!$D:$D,StandardParams!$B:$B,"身法")*IFERROR(SUMIFS(Coefficients!$D:$D,Coefficients!$A:$A,$B9,Coefficients!$B:$B,"身法"),1)*SUMIFS(TestCases!$D:$D,TestCases!$A:$A,$A9)*SUMIFS(StandardParams!$E:$E,StandardParams!$B:$B,"身法")*IFERROR(SUMIFS(Coefficients!$E:$E,Coefficients!$A:$A,$B9,Coefficients!$B:$B,"身法"),1)+SUMIFS(StandardParams!$F:$F,StandardParams!$B:$B,"身法")*IFERROR(SUMIFS(Coefficients!$F:$F,Coefficients!$A:$A,$B9,Coefficients!$B:$B,"身法"),1))</f>
      </c>
      <c r="I9">
        <f>IF($A9="","",SUMIFS(StandardParams!$C:$C,StandardParams!$B:$B,"定力")*IFERROR(SUMIFS(Coefficients!$C:$C,Coefficients!$A:$A,$B9,Coefficients!$B:$B,"定力"),1)+SUMIFS(StandardParams!$D:$D,StandardParams!$B:$B,"定力")*IFERROR(SUMIFS(Coefficients!$D:$D,Coefficients!$A:$A,$B9,Coefficients!$B:$B,"定力"),1)*SUMIFS(TestCases!$D:$D,TestCases!$A:$A,$A9)*SUMIFS(StandardParams!$E:$E,StandardParams!$B:$B,"定力")*IFERROR(SUMIFS(Coefficients!$E:$E,Coefficients!$A:$A,$B9,Coefficients!$B:$B,"定力"),1)+SUMIFS(StandardParams!$F:$F,StandardParams!$B:$B,"定力")*IFERROR(SUMIFS(Coefficients!$F:$F,Coefficients!$A:$A,$B9,Coefficients!$B:$B,"定力"),1))</f>
      </c>
      <c r="J9">
        <f>IF($A9="","",SUMIFS(StandardParams!$C:$C,StandardParams!$B:$B,"攻击")*IFERROR(SUMIFS(Coefficients!$C:$C,Coefficients!$A:$A,$B9,Coefficients!$B:$B,"攻击"),1)+SUMIFS(StandardParams!$D:$D,StandardParams!$B:$B,"攻击")*IFERROR(SUMIFS(Coefficients!$D:$D,Coefficients!$A:$A,$B9,Coefficients!$B:$B,"攻击"),1)*SUMIFS(TestCases!$D:$D,TestCases!$A:$A,$A9)+SUMIFS(StandardParams!$F:$F,StandardParams!$B:$B,"攻击")*IFERROR(SUMIFS(Coefficients!$F:$F,Coefficients!$A:$A,$B9,Coefficients!$B:$B,"攻击"),1)+SUMIFS(EquipPlans!$I:$I,EquipPlans!$A:$A,$C9,EquipPlans!$B:$B,"攻击")+D9*4)</f>
      </c>
      <c r="K9">
        <f>IF($A9="","",SUMIFS(StandardParams!$C:$C,StandardParams!$B:$B,"防御")*IFERROR(SUMIFS(Coefficients!$C:$C,Coefficients!$A:$A,$B9,Coefficients!$B:$B,"防御"),1)+SUMIFS(StandardParams!$D:$D,StandardParams!$B:$B,"防御")*IFERROR(SUMIFS(Coefficients!$D:$D,Coefficients!$A:$A,$B9,Coefficients!$B:$B,"防御"),1)*SUMIFS(TestCases!$D:$D,TestCases!$A:$A,$A9)+SUMIFS(StandardParams!$F:$F,StandardParams!$B:$B,"防御")*IFERROR(SUMIFS(Coefficients!$F:$F,Coefficients!$A:$A,$B9,Coefficients!$B:$B,"防御"),1)+SUMIFS(EquipPlans!$I:$I,EquipPlans!$A:$A,$C9,EquipPlans!$B:$B,"防御"))</f>
      </c>
      <c r="L9">
        <f>IF($A9="","",SUMIFS(StandardParams!$C:$C,StandardParams!$B:$B,"速度")*IFERROR(SUMIFS(Coefficients!$C:$C,Coefficients!$A:$A,$B9,Coefficients!$B:$B,"速度"),1)+SUMIFS(StandardParams!$D:$D,StandardParams!$B:$B,"速度")*IFERROR(SUMIFS(Coefficients!$D:$D,Coefficients!$A:$A,$B9,Coefficients!$B:$B,"速度"),1)*SUMIFS(TestCases!$D:$D,TestCases!$A:$A,$A9)+SUMIFS(StandardParams!$F:$F,StandardParams!$B:$B,"速度")*IFERROR(SUMIFS(Coefficients!$F:$F,Coefficients!$A:$A,$B9,Coefficients!$B:$B,"速度"),1)+SUMIFS(EquipPlans!$I:$I,EquipPlans!$A:$A,$C9,EquipPlans!$B:$B,"速度")+H9*2)</f>
      </c>
      <c r="M9">
        <f>IF($A9="","",SUMIFS(StandardParams!$C:$C,StandardParams!$B:$B,"命中")*IFERROR(SUMIFS(Coefficients!$C:$C,Coefficients!$A:$A,$B9,Coefficients!$B:$B,"命中"),1)+SUMIFS(StandardParams!$D:$D,StandardParams!$B:$B,"命中")*IFERROR(SUMIFS(Coefficients!$D:$D,Coefficients!$A:$A,$B9,Coefficients!$B:$B,"命中"),1)*SUMIFS(TestCases!$D:$D,TestCases!$A:$A,$A9)+SUMIFS(StandardParams!$F:$F,StandardParams!$B:$B,"命中")*IFERROR(SUMIFS(Coefficients!$F:$F,Coefficients!$A:$A,$B9,Coefficients!$B:$B,"命中"),1)+SUMIFS(EquipPlans!$I:$I,EquipPlans!$A:$A,$C9,EquipPlans!$B:$B,"命中")+E9*2)</f>
      </c>
      <c r="N9">
        <f>IF($A9="","",SUMIFS(StandardParams!$C:$C,StandardParams!$B:$B,"招架")*IFERROR(SUMIFS(Coefficients!$C:$C,Coefficients!$A:$A,$B9,Coefficients!$B:$B,"招架"),1)+SUMIFS(StandardParams!$D:$D,StandardParams!$B:$B,"招架")*IFERROR(SUMIFS(Coefficients!$D:$D,Coefficients!$A:$A,$B9,Coefficients!$B:$B,"招架"),1)*SUMIFS(TestCases!$D:$D,TestCases!$A:$A,$A9)+SUMIFS(StandardParams!$F:$F,StandardParams!$B:$B,"招架")*IFERROR(SUMIFS(Coefficients!$F:$F,Coefficients!$A:$A,$B9,Coefficients!$B:$B,"招架"),1)+SUMIFS(EquipPlans!$I:$I,EquipPlans!$A:$A,$C9,EquipPlans!$B:$B,"招架")+E9*2)</f>
      </c>
      <c r="O9">
        <f>IF($A9="","",SUMIFS(StandardParams!$C:$C,StandardParams!$B:$B,"偏斜")*IFERROR(SUMIFS(Coefficients!$C:$C,Coefficients!$A:$A,$B9,Coefficients!$B:$B,"偏斜"),1)+SUMIFS(StandardParams!$D:$D,StandardParams!$B:$B,"偏斜")*IFERROR(SUMIFS(Coefficients!$D:$D,Coefficients!$A:$A,$B9,Coefficients!$B:$B,"偏斜"),1)*SUMIFS(TestCases!$D:$D,TestCases!$A:$A,$A9)+SUMIFS(StandardParams!$F:$F,StandardParams!$B:$B,"偏斜")*IFERROR(SUMIFS(Coefficients!$F:$F,Coefficients!$A:$A,$B9,Coefficients!$B:$B,"偏斜"),1)+SUMIFS(EquipPlans!$I:$I,EquipPlans!$A:$A,$C9,EquipPlans!$B:$B,"偏斜")+H9*2)</f>
      </c>
      <c r="P9">
        <f>IF($A9="","",SUMIFS(StandardParams!$C:$C,StandardParams!$B:$B,"抵抗")*IFERROR(SUMIFS(Coefficients!$C:$C,Coefficients!$A:$A,$B9,Coefficients!$B:$B,"抵抗"),1)+SUMIFS(StandardParams!$D:$D,StandardParams!$B:$B,"抵抗")*IFERROR(SUMIFS(Coefficients!$D:$D,Coefficients!$A:$A,$B9,Coefficients!$B:$B,"抵抗"),1)*SUMIFS(TestCases!$D:$D,TestCases!$A:$A,$A9)+SUMIFS(StandardParams!$F:$F,StandardParams!$B:$B,"抵抗")*IFERROR(SUMIFS(Coefficients!$F:$F,Coefficients!$A:$A,$B9,Coefficients!$B:$B,"抵抗"),1)+SUMIFS(EquipPlans!$I:$I,EquipPlans!$A:$A,$C9,EquipPlans!$B:$B,"抵抗")+I9*2.5)</f>
      </c>
      <c r="Q9">
        <f>IF($A9="","",SUMIFS(StandardParams!$C:$C,StandardParams!$B:$B,"韧性")*IFERROR(SUMIFS(Coefficients!$C:$C,Coefficients!$A:$A,$B9,Coefficients!$B:$B,"韧性"),1)+SUMIFS(StandardParams!$D:$D,StandardParams!$B:$B,"韧性")*IFERROR(SUMIFS(Coefficients!$D:$D,Coefficients!$A:$A,$B9,Coefficients!$B:$B,"韧性"),1)*SUMIFS(TestCases!$D:$D,TestCases!$A:$A,$A9)+SUMIFS(StandardParams!$F:$F,StandardParams!$B:$B,"韧性")*IFERROR(SUMIFS(Coefficients!$F:$F,Coefficients!$A:$A,$B9,Coefficients!$B:$B,"韧性"),1)+SUMIFS(EquipPlans!$I:$I,EquipPlans!$A:$A,$C9,EquipPlans!$B:$B,"韧性")+F9)</f>
      </c>
      <c r="R9">
        <f>IF($A9="","",SUMIFS(StandardParams!$C:$C,StandardParams!$B:$B,"气血")*IFERROR(SUMIFS(Coefficients!$C:$C,Coefficients!$A:$A,$B9,Coefficients!$B:$B,"气血"),1)+SUMIFS(StandardParams!$D:$D,StandardParams!$B:$B,"气血")*IFERROR(SUMIFS(Coefficients!$D:$D,Coefficients!$A:$A,$B9,Coefficients!$B:$B,"气血"),1)*SUMIFS(TestCases!$D:$D,TestCases!$A:$A,$A9)+SUMIFS(StandardParams!$F:$F,StandardParams!$B:$B,"气血")*IFERROR(SUMIFS(Coefficients!$F:$F,Coefficients!$A:$A,$B9,Coefficients!$B:$B,"气血"),1)+SUMIFS(EquipPlans!$I:$I,EquipPlans!$A:$A,$C9,EquipPlans!$B:$B,"气血")+F9*20)</f>
      </c>
      <c r="S9">
        <f>IF($A9="","",SUMIFS(StandardParams!$C:$C,StandardParams!$B:$B,"内力")*IFERROR(SUMIFS(Coefficients!$C:$C,Coefficients!$A:$A,$B9,Coefficients!$B:$B,"内力"),1)+SUMIFS(StandardParams!$D:$D,StandardParams!$B:$B,"内力")*IFERROR(SUMIFS(Coefficients!$D:$D,Coefficients!$A:$A,$B9,Coefficients!$B:$B,"内力"),1)*SUMIFS(TestCases!$D:$D,TestCases!$A:$A,$A9)+SUMIFS(StandardParams!$F:$F,StandardParams!$B:$B,"内力")*IFERROR(SUMIFS(Coefficients!$F:$F,Coefficients!$A:$A,$B9,Coefficients!$B:$B,"内力"),1)+SUMIFS(EquipPlans!$I:$I,EquipPlans!$A:$A,$C9,EquipPlans!$B:$B,"内力")+G9*10)</f>
      </c>
      <c r="T9">
        <f>IF($A9="","",SUMIFS(StandardParams!$C:$C,StandardParams!$B:$B,"内力回复")*IFERROR(SUMIFS(Coefficients!$C:$C,Coefficients!$A:$A,$B9,Coefficients!$B:$B,"内力回复"),1)+SUMIFS(StandardParams!$D:$D,StandardParams!$B:$B,"内力回复")*IFERROR(SUMIFS(Coefficients!$D:$D,Coefficients!$A:$A,$B9,Coefficients!$B:$B,"内力回复"),1)*SUMIFS(TestCases!$D:$D,TestCases!$A:$A,$A9)+SUMIFS(StandardParams!$F:$F,StandardParams!$B:$B,"内力回复")*IFERROR(SUMIFS(Coefficients!$F:$F,Coefficients!$A:$A,$B9,Coefficients!$B:$B,"内力回复"),1)+SUMIFS(EquipPlans!$I:$I,EquipPlans!$A:$A,$C9,EquipPlans!$B:$B,"内力回复")+G9*0.5)</f>
      </c>
      <c r="U9">
        <f>IF($A9="","",SUMIFS(StandardParams!$C:$C,StandardParams!$B:$B,"气血恢复")*IFERROR(SUMIFS(Coefficients!$C:$C,Coefficients!$A:$A,$B9,Coefficients!$B:$B,"气血恢复"),1)+SUMIFS(StandardParams!$D:$D,StandardParams!$B:$B,"气血恢复")*IFERROR(SUMIFS(Coefficients!$D:$D,Coefficients!$A:$A,$B9,Coefficients!$B:$B,"气血恢复"),1)*SUMIFS(TestCases!$D:$D,TestCases!$A:$A,$A9)+SUMIFS(StandardParams!$F:$F,StandardParams!$B:$B,"气血恢复")*IFERROR(SUMIFS(Coefficients!$F:$F,Coefficients!$A:$A,$B9,Coefficients!$B:$B,"气血恢复"),1)+SUMIFS(EquipPlans!$I:$I,EquipPlans!$A:$A,$C9,EquipPlans!$B:$B,"气血恢复"))</f>
      </c>
      <c r="V9">
        <f>IF($A9="","",L9/(N9+L9+500))</f>
      </c>
      <c r="W9">
        <f>IF($A9="","",M9/(O9+M9+500))</f>
      </c>
      <c r="X9">
        <f>IF($A9="","",K9/(J9+K9))</f>
      </c>
    </row>
    <row r="10">
      <c r="A10">
        <f>IF(TestCases!A10="","",TestCases!A10)</f>
      </c>
      <c r="B10">
        <f>IF($A10="","",TestCases!B10)</f>
      </c>
      <c r="C10">
        <f>IF($A10="","",TestCases!C10)</f>
      </c>
      <c r="D10">
        <f>IF($A10="","",SUMIFS(StandardParams!$C:$C,StandardParams!$B:$B,"臂力")*IFERROR(SUMIFS(Coefficients!$C:$C,Coefficients!$A:$A,$B10,Coefficients!$B:$B,"臂力"),1)+SUMIFS(StandardParams!$D:$D,StandardParams!$B:$B,"臂力")*IFERROR(SUMIFS(Coefficients!$D:$D,Coefficients!$A:$A,$B10,Coefficients!$B:$B,"臂力"),1)*SUMIFS(TestCases!$D:$D,TestCases!$A:$A,$A10)*SUMIFS(StandardParams!$E:$E,StandardParams!$B:$B,"臂力")*IFERROR(SUMIFS(Coefficients!$E:$E,Coefficients!$A:$A,$B10,Coefficients!$B:$B,"臂力"),1)+SUMIFS(StandardParams!$F:$F,StandardParams!$B:$B,"臂力")*IFERROR(SUMIFS(Coefficients!$F:$F,Coefficients!$A:$A,$B10,Coefficients!$B:$B,"臂力"),1))</f>
      </c>
      <c r="E10">
        <f>IF($A10="","",SUMIFS(StandardParams!$C:$C,StandardParams!$B:$B,"技巧")*IFERROR(SUMIFS(Coefficients!$C:$C,Coefficients!$A:$A,$B10,Coefficients!$B:$B,"技巧"),1)+SUMIFS(StandardParams!$D:$D,StandardParams!$B:$B,"技巧")*IFERROR(SUMIFS(Coefficients!$D:$D,Coefficients!$A:$A,$B10,Coefficients!$B:$B,"技巧"),1)*SUMIFS(TestCases!$D:$D,TestCases!$A:$A,$A10)*SUMIFS(StandardParams!$E:$E,StandardParams!$B:$B,"技巧")*IFERROR(SUMIFS(Coefficients!$E:$E,Coefficients!$A:$A,$B10,Coefficients!$B:$B,"技巧"),1)+SUMIFS(StandardParams!$F:$F,StandardParams!$B:$B,"技巧")*IFERROR(SUMIFS(Coefficients!$F:$F,Coefficients!$A:$A,$B10,Coefficients!$B:$B,"技巧"),1))</f>
      </c>
      <c r="F10">
        <f>IF($A10="","",SUMIFS(StandardParams!$C:$C,StandardParams!$B:$B,"根骨")*IFERROR(SUMIFS(Coefficients!$C:$C,Coefficients!$A:$A,$B10,Coefficients!$B:$B,"根骨"),1)+SUMIFS(StandardParams!$D:$D,StandardParams!$B:$B,"根骨")*IFERROR(SUMIFS(Coefficients!$D:$D,Coefficients!$A:$A,$B10,Coefficients!$B:$B,"根骨"),1)*SUMIFS(TestCases!$D:$D,TestCases!$A:$A,$A10)*SUMIFS(StandardParams!$E:$E,StandardParams!$B:$B,"根骨")*IFERROR(SUMIFS(Coefficients!$E:$E,Coefficients!$A:$A,$B10,Coefficients!$B:$B,"根骨"),1)+SUMIFS(StandardParams!$F:$F,StandardParams!$B:$B,"根骨")*IFERROR(SUMIFS(Coefficients!$F:$F,Coefficients!$A:$A,$B10,Coefficients!$B:$B,"根骨"),1))</f>
      </c>
      <c r="G10">
        <f>IF($A10="","",SUMIFS(StandardParams!$C:$C,StandardParams!$B:$B,"内息")*IFERROR(SUMIFS(Coefficients!$C:$C,Coefficients!$A:$A,$B10,Coefficients!$B:$B,"内息"),1)+SUMIFS(StandardParams!$D:$D,StandardParams!$B:$B,"内息")*IFERROR(SUMIFS(Coefficients!$D:$D,Coefficients!$A:$A,$B10,Coefficients!$B:$B,"内息"),1)*SUMIFS(TestCases!$D:$D,TestCases!$A:$A,$A10)*SUMIFS(StandardParams!$E:$E,StandardParams!$B:$B,"内息")*IFERROR(SUMIFS(Coefficients!$E:$E,Coefficients!$A:$A,$B10,Coefficients!$B:$B,"内息"),1)+SUMIFS(StandardParams!$F:$F,StandardParams!$B:$B,"内息")*IFERROR(SUMIFS(Coefficients!$F:$F,Coefficients!$A:$A,$B10,Coefficients!$B:$B,"内息"),1))</f>
      </c>
      <c r="H10">
        <f>IF($A10="","",SUMIFS(StandardParams!$C:$C,StandardParams!$B:$B,"身法")*IFERROR(SUMIFS(Coefficients!$C:$C,Coefficients!$A:$A,$B10,Coefficients!$B:$B,"身法"),1)+SUMIFS(StandardParams!$D:$D,StandardParams!$B:$B,"身法")*IFERROR(SUMIFS(Coefficients!$D:$D,Coefficients!$A:$A,$B10,Coefficients!$B:$B,"身法"),1)*SUMIFS(TestCases!$D:$D,TestCases!$A:$A,$A10)*SUMIFS(StandardParams!$E:$E,StandardParams!$B:$B,"身法")*IFERROR(SUMIFS(Coefficients!$E:$E,Coefficients!$A:$A,$B10,Coefficients!$B:$B,"身法"),1)+SUMIFS(StandardParams!$F:$F,StandardParams!$B:$B,"身法")*IFERROR(SUMIFS(Coefficients!$F:$F,Coefficients!$A:$A,$B10,Coefficients!$B:$B,"身法"),1))</f>
      </c>
      <c r="I10">
        <f>IF($A10="","",SUMIFS(StandardParams!$C:$C,StandardParams!$B:$B,"定力")*IFERROR(SUMIFS(Coefficients!$C:$C,Coefficients!$A:$A,$B10,Coefficients!$B:$B,"定力"),1)+SUMIFS(StandardParams!$D:$D,StandardParams!$B:$B,"定力")*IFERROR(SUMIFS(Coefficients!$D:$D,Coefficients!$A:$A,$B10,Coefficients!$B:$B,"定力"),1)*SUMIFS(TestCases!$D:$D,TestCases!$A:$A,$A10)*SUMIFS(StandardParams!$E:$E,StandardParams!$B:$B,"定力")*IFERROR(SUMIFS(Coefficients!$E:$E,Coefficients!$A:$A,$B10,Coefficients!$B:$B,"定力"),1)+SUMIFS(StandardParams!$F:$F,StandardParams!$B:$B,"定力")*IFERROR(SUMIFS(Coefficients!$F:$F,Coefficients!$A:$A,$B10,Coefficients!$B:$B,"定力"),1))</f>
      </c>
      <c r="J10">
        <f>IF($A10="","",SUMIFS(StandardParams!$C:$C,StandardParams!$B:$B,"攻击")*IFERROR(SUMIFS(Coefficients!$C:$C,Coefficients!$A:$A,$B10,Coefficients!$B:$B,"攻击"),1)+SUMIFS(StandardParams!$D:$D,StandardParams!$B:$B,"攻击")*IFERROR(SUMIFS(Coefficients!$D:$D,Coefficients!$A:$A,$B10,Coefficients!$B:$B,"攻击"),1)*SUMIFS(TestCases!$D:$D,TestCases!$A:$A,$A10)+SUMIFS(StandardParams!$F:$F,StandardParams!$B:$B,"攻击")*IFERROR(SUMIFS(Coefficients!$F:$F,Coefficients!$A:$A,$B10,Coefficients!$B:$B,"攻击"),1)+SUMIFS(EquipPlans!$I:$I,EquipPlans!$A:$A,$C10,EquipPlans!$B:$B,"攻击")+D10*4)</f>
      </c>
      <c r="K10">
        <f>IF($A10="","",SUMIFS(StandardParams!$C:$C,StandardParams!$B:$B,"防御")*IFERROR(SUMIFS(Coefficients!$C:$C,Coefficients!$A:$A,$B10,Coefficients!$B:$B,"防御"),1)+SUMIFS(StandardParams!$D:$D,StandardParams!$B:$B,"防御")*IFERROR(SUMIFS(Coefficients!$D:$D,Coefficients!$A:$A,$B10,Coefficients!$B:$B,"防御"),1)*SUMIFS(TestCases!$D:$D,TestCases!$A:$A,$A10)+SUMIFS(StandardParams!$F:$F,StandardParams!$B:$B,"防御")*IFERROR(SUMIFS(Coefficients!$F:$F,Coefficients!$A:$A,$B10,Coefficients!$B:$B,"防御"),1)+SUMIFS(EquipPlans!$I:$I,EquipPlans!$A:$A,$C10,EquipPlans!$B:$B,"防御"))</f>
      </c>
      <c r="L10">
        <f>IF($A10="","",SUMIFS(StandardParams!$C:$C,StandardParams!$B:$B,"速度")*IFERROR(SUMIFS(Coefficients!$C:$C,Coefficients!$A:$A,$B10,Coefficients!$B:$B,"速度"),1)+SUMIFS(StandardParams!$D:$D,StandardParams!$B:$B,"速度")*IFERROR(SUMIFS(Coefficients!$D:$D,Coefficients!$A:$A,$B10,Coefficients!$B:$B,"速度"),1)*SUMIFS(TestCases!$D:$D,TestCases!$A:$A,$A10)+SUMIFS(StandardParams!$F:$F,StandardParams!$B:$B,"速度")*IFERROR(SUMIFS(Coefficients!$F:$F,Coefficients!$A:$A,$B10,Coefficients!$B:$B,"速度"),1)+SUMIFS(EquipPlans!$I:$I,EquipPlans!$A:$A,$C10,EquipPlans!$B:$B,"速度")+H10*2)</f>
      </c>
      <c r="M10">
        <f>IF($A10="","",SUMIFS(StandardParams!$C:$C,StandardParams!$B:$B,"命中")*IFERROR(SUMIFS(Coefficients!$C:$C,Coefficients!$A:$A,$B10,Coefficients!$B:$B,"命中"),1)+SUMIFS(StandardParams!$D:$D,StandardParams!$B:$B,"命中")*IFERROR(SUMIFS(Coefficients!$D:$D,Coefficients!$A:$A,$B10,Coefficients!$B:$B,"命中"),1)*SUMIFS(TestCases!$D:$D,TestCases!$A:$A,$A10)+SUMIFS(StandardParams!$F:$F,StandardParams!$B:$B,"命中")*IFERROR(SUMIFS(Coefficients!$F:$F,Coefficients!$A:$A,$B10,Coefficients!$B:$B,"命中"),1)+SUMIFS(EquipPlans!$I:$I,EquipPlans!$A:$A,$C10,EquipPlans!$B:$B,"命中")+E10*2)</f>
      </c>
      <c r="N10">
        <f>IF($A10="","",SUMIFS(StandardParams!$C:$C,StandardParams!$B:$B,"招架")*IFERROR(SUMIFS(Coefficients!$C:$C,Coefficients!$A:$A,$B10,Coefficients!$B:$B,"招架"),1)+SUMIFS(StandardParams!$D:$D,StandardParams!$B:$B,"招架")*IFERROR(SUMIFS(Coefficients!$D:$D,Coefficients!$A:$A,$B10,Coefficients!$B:$B,"招架"),1)*SUMIFS(TestCases!$D:$D,TestCases!$A:$A,$A10)+SUMIFS(StandardParams!$F:$F,StandardParams!$B:$B,"招架")*IFERROR(SUMIFS(Coefficients!$F:$F,Coefficients!$A:$A,$B10,Coefficients!$B:$B,"招架"),1)+SUMIFS(EquipPlans!$I:$I,EquipPlans!$A:$A,$C10,EquipPlans!$B:$B,"招架")+E10*2)</f>
      </c>
      <c r="O10">
        <f>IF($A10="","",SUMIFS(StandardParams!$C:$C,StandardParams!$B:$B,"偏斜")*IFERROR(SUMIFS(Coefficients!$C:$C,Coefficients!$A:$A,$B10,Coefficients!$B:$B,"偏斜"),1)+SUMIFS(StandardParams!$D:$D,StandardParams!$B:$B,"偏斜")*IFERROR(SUMIFS(Coefficients!$D:$D,Coefficients!$A:$A,$B10,Coefficients!$B:$B,"偏斜"),1)*SUMIFS(TestCases!$D:$D,TestCases!$A:$A,$A10)+SUMIFS(StandardParams!$F:$F,StandardParams!$B:$B,"偏斜")*IFERROR(SUMIFS(Coefficients!$F:$F,Coefficients!$A:$A,$B10,Coefficients!$B:$B,"偏斜"),1)+SUMIFS(EquipPlans!$I:$I,EquipPlans!$A:$A,$C10,EquipPlans!$B:$B,"偏斜")+H10*2)</f>
      </c>
      <c r="P10">
        <f>IF($A10="","",SUMIFS(StandardParams!$C:$C,StandardParams!$B:$B,"抵抗")*IFERROR(SUMIFS(Coefficients!$C:$C,Coefficients!$A:$A,$B10,Coefficients!$B:$B,"抵抗"),1)+SUMIFS(StandardParams!$D:$D,StandardParams!$B:$B,"抵抗")*IFERROR(SUMIFS(Coefficients!$D:$D,Coefficients!$A:$A,$B10,Coefficients!$B:$B,"抵抗"),1)*SUMIFS(TestCases!$D:$D,TestCases!$A:$A,$A10)+SUMIFS(StandardParams!$F:$F,StandardParams!$B:$B,"抵抗")*IFERROR(SUMIFS(Coefficients!$F:$F,Coefficients!$A:$A,$B10,Coefficients!$B:$B,"抵抗"),1)+SUMIFS(EquipPlans!$I:$I,EquipPlans!$A:$A,$C10,EquipPlans!$B:$B,"抵抗")+I10*2.5)</f>
      </c>
      <c r="Q10">
        <f>IF($A10="","",SUMIFS(StandardParams!$C:$C,StandardParams!$B:$B,"韧性")*IFERROR(SUMIFS(Coefficients!$C:$C,Coefficients!$A:$A,$B10,Coefficients!$B:$B,"韧性"),1)+SUMIFS(StandardParams!$D:$D,StandardParams!$B:$B,"韧性")*IFERROR(SUMIFS(Coefficients!$D:$D,Coefficients!$A:$A,$B10,Coefficients!$B:$B,"韧性"),1)*SUMIFS(TestCases!$D:$D,TestCases!$A:$A,$A10)+SUMIFS(StandardParams!$F:$F,StandardParams!$B:$B,"韧性")*IFERROR(SUMIFS(Coefficients!$F:$F,Coefficients!$A:$A,$B10,Coefficients!$B:$B,"韧性"),1)+SUMIFS(EquipPlans!$I:$I,EquipPlans!$A:$A,$C10,EquipPlans!$B:$B,"韧性")+F10)</f>
      </c>
      <c r="R10">
        <f>IF($A10="","",SUMIFS(StandardParams!$C:$C,StandardParams!$B:$B,"气血")*IFERROR(SUMIFS(Coefficients!$C:$C,Coefficients!$A:$A,$B10,Coefficients!$B:$B,"气血"),1)+SUMIFS(StandardParams!$D:$D,StandardParams!$B:$B,"气血")*IFERROR(SUMIFS(Coefficients!$D:$D,Coefficients!$A:$A,$B10,Coefficients!$B:$B,"气血"),1)*SUMIFS(TestCases!$D:$D,TestCases!$A:$A,$A10)+SUMIFS(StandardParams!$F:$F,StandardParams!$B:$B,"气血")*IFERROR(SUMIFS(Coefficients!$F:$F,Coefficients!$A:$A,$B10,Coefficients!$B:$B,"气血"),1)+SUMIFS(EquipPlans!$I:$I,EquipPlans!$A:$A,$C10,EquipPlans!$B:$B,"气血")+F10*20)</f>
      </c>
      <c r="S10">
        <f>IF($A10="","",SUMIFS(StandardParams!$C:$C,StandardParams!$B:$B,"内力")*IFERROR(SUMIFS(Coefficients!$C:$C,Coefficients!$A:$A,$B10,Coefficients!$B:$B,"内力"),1)+SUMIFS(StandardParams!$D:$D,StandardParams!$B:$B,"内力")*IFERROR(SUMIFS(Coefficients!$D:$D,Coefficients!$A:$A,$B10,Coefficients!$B:$B,"内力"),1)*SUMIFS(TestCases!$D:$D,TestCases!$A:$A,$A10)+SUMIFS(StandardParams!$F:$F,StandardParams!$B:$B,"内力")*IFERROR(SUMIFS(Coefficients!$F:$F,Coefficients!$A:$A,$B10,Coefficients!$B:$B,"内力"),1)+SUMIFS(EquipPlans!$I:$I,EquipPlans!$A:$A,$C10,EquipPlans!$B:$B,"内力")+G10*10)</f>
      </c>
      <c r="T10">
        <f>IF($A10="","",SUMIFS(StandardParams!$C:$C,StandardParams!$B:$B,"内力回复")*IFERROR(SUMIFS(Coefficients!$C:$C,Coefficients!$A:$A,$B10,Coefficients!$B:$B,"内力回复"),1)+SUMIFS(StandardParams!$D:$D,StandardParams!$B:$B,"内力回复")*IFERROR(SUMIFS(Coefficients!$D:$D,Coefficients!$A:$A,$B10,Coefficients!$B:$B,"内力回复"),1)*SUMIFS(TestCases!$D:$D,TestCases!$A:$A,$A10)+SUMIFS(StandardParams!$F:$F,StandardParams!$B:$B,"内力回复")*IFERROR(SUMIFS(Coefficients!$F:$F,Coefficients!$A:$A,$B10,Coefficients!$B:$B,"内力回复"),1)+SUMIFS(EquipPlans!$I:$I,EquipPlans!$A:$A,$C10,EquipPlans!$B:$B,"内力回复")+G10*0.5)</f>
      </c>
      <c r="U10">
        <f>IF($A10="","",SUMIFS(StandardParams!$C:$C,StandardParams!$B:$B,"气血恢复")*IFERROR(SUMIFS(Coefficients!$C:$C,Coefficients!$A:$A,$B10,Coefficients!$B:$B,"气血恢复"),1)+SUMIFS(StandardParams!$D:$D,StandardParams!$B:$B,"气血恢复")*IFERROR(SUMIFS(Coefficients!$D:$D,Coefficients!$A:$A,$B10,Coefficients!$B:$B,"气血恢复"),1)*SUMIFS(TestCases!$D:$D,TestCases!$A:$A,$A10)+SUMIFS(StandardParams!$F:$F,StandardParams!$B:$B,"气血恢复")*IFERROR(SUMIFS(Coefficients!$F:$F,Coefficients!$A:$A,$B10,Coefficients!$B:$B,"气血恢复"),1)+SUMIFS(EquipPlans!$I:$I,EquipPlans!$A:$A,$C10,EquipPlans!$B:$B,"气血恢复"))</f>
      </c>
      <c r="V10">
        <f>IF($A10="","",L10/(N10+L10+500))</f>
      </c>
      <c r="W10">
        <f>IF($A10="","",M10/(O10+M10+500))</f>
      </c>
      <c r="X10">
        <f>IF($A10="","",K10/(J10+K10))</f>
      </c>
    </row>
    <row r="11">
      <c r="A11">
        <f>IF(TestCases!A11="","",TestCases!A11)</f>
      </c>
      <c r="B11">
        <f>IF($A11="","",TestCases!B11)</f>
      </c>
      <c r="C11">
        <f>IF($A11="","",TestCases!C11)</f>
      </c>
      <c r="D11">
        <f>IF($A11="","",SUMIFS(StandardParams!$C:$C,StandardParams!$B:$B,"臂力")*IFERROR(SUMIFS(Coefficients!$C:$C,Coefficients!$A:$A,$B11,Coefficients!$B:$B,"臂力"),1)+SUMIFS(StandardParams!$D:$D,StandardParams!$B:$B,"臂力")*IFERROR(SUMIFS(Coefficients!$D:$D,Coefficients!$A:$A,$B11,Coefficients!$B:$B,"臂力"),1)*SUMIFS(TestCases!$D:$D,TestCases!$A:$A,$A11)*SUMIFS(StandardParams!$E:$E,StandardParams!$B:$B,"臂力")*IFERROR(SUMIFS(Coefficients!$E:$E,Coefficients!$A:$A,$B11,Coefficients!$B:$B,"臂力"),1)+SUMIFS(StandardParams!$F:$F,StandardParams!$B:$B,"臂力")*IFERROR(SUMIFS(Coefficients!$F:$F,Coefficients!$A:$A,$B11,Coefficients!$B:$B,"臂力"),1))</f>
      </c>
      <c r="E11">
        <f>IF($A11="","",SUMIFS(StandardParams!$C:$C,StandardParams!$B:$B,"技巧")*IFERROR(SUMIFS(Coefficients!$C:$C,Coefficients!$A:$A,$B11,Coefficients!$B:$B,"技巧"),1)+SUMIFS(StandardParams!$D:$D,StandardParams!$B:$B,"技巧")*IFERROR(SUMIFS(Coefficients!$D:$D,Coefficients!$A:$A,$B11,Coefficients!$B:$B,"技巧"),1)*SUMIFS(TestCases!$D:$D,TestCases!$A:$A,$A11)*SUMIFS(StandardParams!$E:$E,StandardParams!$B:$B,"技巧")*IFERROR(SUMIFS(Coefficients!$E:$E,Coefficients!$A:$A,$B11,Coefficients!$B:$B,"技巧"),1)+SUMIFS(StandardParams!$F:$F,StandardParams!$B:$B,"技巧")*IFERROR(SUMIFS(Coefficients!$F:$F,Coefficients!$A:$A,$B11,Coefficients!$B:$B,"技巧"),1))</f>
      </c>
      <c r="F11">
        <f>IF($A11="","",SUMIFS(StandardParams!$C:$C,StandardParams!$B:$B,"根骨")*IFERROR(SUMIFS(Coefficients!$C:$C,Coefficients!$A:$A,$B11,Coefficients!$B:$B,"根骨"),1)+SUMIFS(StandardParams!$D:$D,StandardParams!$B:$B,"根骨")*IFERROR(SUMIFS(Coefficients!$D:$D,Coefficients!$A:$A,$B11,Coefficients!$B:$B,"根骨"),1)*SUMIFS(TestCases!$D:$D,TestCases!$A:$A,$A11)*SUMIFS(StandardParams!$E:$E,StandardParams!$B:$B,"根骨")*IFERROR(SUMIFS(Coefficients!$E:$E,Coefficients!$A:$A,$B11,Coefficients!$B:$B,"根骨"),1)+SUMIFS(StandardParams!$F:$F,StandardParams!$B:$B,"根骨")*IFERROR(SUMIFS(Coefficients!$F:$F,Coefficients!$A:$A,$B11,Coefficients!$B:$B,"根骨"),1))</f>
      </c>
      <c r="G11">
        <f>IF($A11="","",SUMIFS(StandardParams!$C:$C,StandardParams!$B:$B,"内息")*IFERROR(SUMIFS(Coefficients!$C:$C,Coefficients!$A:$A,$B11,Coefficients!$B:$B,"内息"),1)+SUMIFS(StandardParams!$D:$D,StandardParams!$B:$B,"内息")*IFERROR(SUMIFS(Coefficients!$D:$D,Coefficients!$A:$A,$B11,Coefficients!$B:$B,"内息"),1)*SUMIFS(TestCases!$D:$D,TestCases!$A:$A,$A11)*SUMIFS(StandardParams!$E:$E,StandardParams!$B:$B,"内息")*IFERROR(SUMIFS(Coefficients!$E:$E,Coefficients!$A:$A,$B11,Coefficients!$B:$B,"内息"),1)+SUMIFS(StandardParams!$F:$F,StandardParams!$B:$B,"内息")*IFERROR(SUMIFS(Coefficients!$F:$F,Coefficients!$A:$A,$B11,Coefficients!$B:$B,"内息"),1))</f>
      </c>
      <c r="H11">
        <f>IF($A11="","",SUMIFS(StandardParams!$C:$C,StandardParams!$B:$B,"身法")*IFERROR(SUMIFS(Coefficients!$C:$C,Coefficients!$A:$A,$B11,Coefficients!$B:$B,"身法"),1)+SUMIFS(StandardParams!$D:$D,StandardParams!$B:$B,"身法")*IFERROR(SUMIFS(Coefficients!$D:$D,Coefficients!$A:$A,$B11,Coefficients!$B:$B,"身法"),1)*SUMIFS(TestCases!$D:$D,TestCases!$A:$A,$A11)*SUMIFS(StandardParams!$E:$E,StandardParams!$B:$B,"身法")*IFERROR(SUMIFS(Coefficients!$E:$E,Coefficients!$A:$A,$B11,Coefficients!$B:$B,"身法"),1)+SUMIFS(StandardParams!$F:$F,StandardParams!$B:$B,"身法")*IFERROR(SUMIFS(Coefficients!$F:$F,Coefficients!$A:$A,$B11,Coefficients!$B:$B,"身法"),1))</f>
      </c>
      <c r="I11">
        <f>IF($A11="","",SUMIFS(StandardParams!$C:$C,StandardParams!$B:$B,"定力")*IFERROR(SUMIFS(Coefficients!$C:$C,Coefficients!$A:$A,$B11,Coefficients!$B:$B,"定力"),1)+SUMIFS(StandardParams!$D:$D,StandardParams!$B:$B,"定力")*IFERROR(SUMIFS(Coefficients!$D:$D,Coefficients!$A:$A,$B11,Coefficients!$B:$B,"定力"),1)*SUMIFS(TestCases!$D:$D,TestCases!$A:$A,$A11)*SUMIFS(StandardParams!$E:$E,StandardParams!$B:$B,"定力")*IFERROR(SUMIFS(Coefficients!$E:$E,Coefficients!$A:$A,$B11,Coefficients!$B:$B,"定力"),1)+SUMIFS(StandardParams!$F:$F,StandardParams!$B:$B,"定力")*IFERROR(SUMIFS(Coefficients!$F:$F,Coefficients!$A:$A,$B11,Coefficients!$B:$B,"定力"),1))</f>
      </c>
      <c r="J11">
        <f>IF($A11="","",SUMIFS(StandardParams!$C:$C,StandardParams!$B:$B,"攻击")*IFERROR(SUMIFS(Coefficients!$C:$C,Coefficients!$A:$A,$B11,Coefficients!$B:$B,"攻击"),1)+SUMIFS(StandardParams!$D:$D,StandardParams!$B:$B,"攻击")*IFERROR(SUMIFS(Coefficients!$D:$D,Coefficients!$A:$A,$B11,Coefficients!$B:$B,"攻击"),1)*SUMIFS(TestCases!$D:$D,TestCases!$A:$A,$A11)+SUMIFS(StandardParams!$F:$F,StandardParams!$B:$B,"攻击")*IFERROR(SUMIFS(Coefficients!$F:$F,Coefficients!$A:$A,$B11,Coefficients!$B:$B,"攻击"),1)+SUMIFS(EquipPlans!$I:$I,EquipPlans!$A:$A,$C11,EquipPlans!$B:$B,"攻击")+D11*4)</f>
      </c>
      <c r="K11">
        <f>IF($A11="","",SUMIFS(StandardParams!$C:$C,StandardParams!$B:$B,"防御")*IFERROR(SUMIFS(Coefficients!$C:$C,Coefficients!$A:$A,$B11,Coefficients!$B:$B,"防御"),1)+SUMIFS(StandardParams!$D:$D,StandardParams!$B:$B,"防御")*IFERROR(SUMIFS(Coefficients!$D:$D,Coefficients!$A:$A,$B11,Coefficients!$B:$B,"防御"),1)*SUMIFS(TestCases!$D:$D,TestCases!$A:$A,$A11)+SUMIFS(StandardParams!$F:$F,StandardParams!$B:$B,"防御")*IFERROR(SUMIFS(Coefficients!$F:$F,Coefficients!$A:$A,$B11,Coefficients!$B:$B,"防御"),1)+SUMIFS(EquipPlans!$I:$I,EquipPlans!$A:$A,$C11,EquipPlans!$B:$B,"防御"))</f>
      </c>
      <c r="L11">
        <f>IF($A11="","",SUMIFS(StandardParams!$C:$C,StandardParams!$B:$B,"速度")*IFERROR(SUMIFS(Coefficients!$C:$C,Coefficients!$A:$A,$B11,Coefficients!$B:$B,"速度"),1)+SUMIFS(StandardParams!$D:$D,StandardParams!$B:$B,"速度")*IFERROR(SUMIFS(Coefficients!$D:$D,Coefficients!$A:$A,$B11,Coefficients!$B:$B,"速度"),1)*SUMIFS(TestCases!$D:$D,TestCases!$A:$A,$A11)+SUMIFS(StandardParams!$F:$F,StandardParams!$B:$B,"速度")*IFERROR(SUMIFS(Coefficients!$F:$F,Coefficients!$A:$A,$B11,Coefficients!$B:$B,"速度"),1)+SUMIFS(EquipPlans!$I:$I,EquipPlans!$A:$A,$C11,EquipPlans!$B:$B,"速度")+H11*2)</f>
      </c>
      <c r="M11">
        <f>IF($A11="","",SUMIFS(StandardParams!$C:$C,StandardParams!$B:$B,"命中")*IFERROR(SUMIFS(Coefficients!$C:$C,Coefficients!$A:$A,$B11,Coefficients!$B:$B,"命中"),1)+SUMIFS(StandardParams!$D:$D,StandardParams!$B:$B,"命中")*IFERROR(SUMIFS(Coefficients!$D:$D,Coefficients!$A:$A,$B11,Coefficients!$B:$B,"命中"),1)*SUMIFS(TestCases!$D:$D,TestCases!$A:$A,$A11)+SUMIFS(StandardParams!$F:$F,StandardParams!$B:$B,"命中")*IFERROR(SUMIFS(Coefficients!$F:$F,Coefficients!$A:$A,$B11,Coefficients!$B:$B,"命中"),1)+SUMIFS(EquipPlans!$I:$I,EquipPlans!$A:$A,$C11,EquipPlans!$B:$B,"命中")+E11*2)</f>
      </c>
      <c r="N11">
        <f>IF($A11="","",SUMIFS(StandardParams!$C:$C,StandardParams!$B:$B,"招架")*IFERROR(SUMIFS(Coefficients!$C:$C,Coefficients!$A:$A,$B11,Coefficients!$B:$B,"招架"),1)+SUMIFS(StandardParams!$D:$D,StandardParams!$B:$B,"招架")*IFERROR(SUMIFS(Coefficients!$D:$D,Coefficients!$A:$A,$B11,Coefficients!$B:$B,"招架"),1)*SUMIFS(TestCases!$D:$D,TestCases!$A:$A,$A11)+SUMIFS(StandardParams!$F:$F,StandardParams!$B:$B,"招架")*IFERROR(SUMIFS(Coefficients!$F:$F,Coefficients!$A:$A,$B11,Coefficients!$B:$B,"招架"),1)+SUMIFS(EquipPlans!$I:$I,EquipPlans!$A:$A,$C11,EquipPlans!$B:$B,"招架")+E11*2)</f>
      </c>
      <c r="O11">
        <f>IF($A11="","",SUMIFS(StandardParams!$C:$C,StandardParams!$B:$B,"偏斜")*IFERROR(SUMIFS(Coefficients!$C:$C,Coefficients!$A:$A,$B11,Coefficients!$B:$B,"偏斜"),1)+SUMIFS(StandardParams!$D:$D,StandardParams!$B:$B,"偏斜")*IFERROR(SUMIFS(Coefficients!$D:$D,Coefficients!$A:$A,$B11,Coefficients!$B:$B,"偏斜"),1)*SUMIFS(TestCases!$D:$D,TestCases!$A:$A,$A11)+SUMIFS(StandardParams!$F:$F,StandardParams!$B:$B,"偏斜")*IFERROR(SUMIFS(Coefficients!$F:$F,Coefficients!$A:$A,$B11,Coefficients!$B:$B,"偏斜"),1)+SUMIFS(EquipPlans!$I:$I,EquipPlans!$A:$A,$C11,EquipPlans!$B:$B,"偏斜")+H11*2)</f>
      </c>
      <c r="P11">
        <f>IF($A11="","",SUMIFS(StandardParams!$C:$C,StandardParams!$B:$B,"抵抗")*IFERROR(SUMIFS(Coefficients!$C:$C,Coefficients!$A:$A,$B11,Coefficients!$B:$B,"抵抗"),1)+SUMIFS(StandardParams!$D:$D,StandardParams!$B:$B,"抵抗")*IFERROR(SUMIFS(Coefficients!$D:$D,Coefficients!$A:$A,$B11,Coefficients!$B:$B,"抵抗"),1)*SUMIFS(TestCases!$D:$D,TestCases!$A:$A,$A11)+SUMIFS(StandardParams!$F:$F,StandardParams!$B:$B,"抵抗")*IFERROR(SUMIFS(Coefficients!$F:$F,Coefficients!$A:$A,$B11,Coefficients!$B:$B,"抵抗"),1)+SUMIFS(EquipPlans!$I:$I,EquipPlans!$A:$A,$C11,EquipPlans!$B:$B,"抵抗")+I11*2.5)</f>
      </c>
      <c r="Q11">
        <f>IF($A11="","",SUMIFS(StandardParams!$C:$C,StandardParams!$B:$B,"韧性")*IFERROR(SUMIFS(Coefficients!$C:$C,Coefficients!$A:$A,$B11,Coefficients!$B:$B,"韧性"),1)+SUMIFS(StandardParams!$D:$D,StandardParams!$B:$B,"韧性")*IFERROR(SUMIFS(Coefficients!$D:$D,Coefficients!$A:$A,$B11,Coefficients!$B:$B,"韧性"),1)*SUMIFS(TestCases!$D:$D,TestCases!$A:$A,$A11)+SUMIFS(StandardParams!$F:$F,StandardParams!$B:$B,"韧性")*IFERROR(SUMIFS(Coefficients!$F:$F,Coefficients!$A:$A,$B11,Coefficients!$B:$B,"韧性"),1)+SUMIFS(EquipPlans!$I:$I,EquipPlans!$A:$A,$C11,EquipPlans!$B:$B,"韧性")+F11)</f>
      </c>
      <c r="R11">
        <f>IF($A11="","",SUMIFS(StandardParams!$C:$C,StandardParams!$B:$B,"气血")*IFERROR(SUMIFS(Coefficients!$C:$C,Coefficients!$A:$A,$B11,Coefficients!$B:$B,"气血"),1)+SUMIFS(StandardParams!$D:$D,StandardParams!$B:$B,"气血")*IFERROR(SUMIFS(Coefficients!$D:$D,Coefficients!$A:$A,$B11,Coefficients!$B:$B,"气血"),1)*SUMIFS(TestCases!$D:$D,TestCases!$A:$A,$A11)+SUMIFS(StandardParams!$F:$F,StandardParams!$B:$B,"气血")*IFERROR(SUMIFS(Coefficients!$F:$F,Coefficients!$A:$A,$B11,Coefficients!$B:$B,"气血"),1)+SUMIFS(EquipPlans!$I:$I,EquipPlans!$A:$A,$C11,EquipPlans!$B:$B,"气血")+F11*20)</f>
      </c>
      <c r="S11">
        <f>IF($A11="","",SUMIFS(StandardParams!$C:$C,StandardParams!$B:$B,"内力")*IFERROR(SUMIFS(Coefficients!$C:$C,Coefficients!$A:$A,$B11,Coefficients!$B:$B,"内力"),1)+SUMIFS(StandardParams!$D:$D,StandardParams!$B:$B,"内力")*IFERROR(SUMIFS(Coefficients!$D:$D,Coefficients!$A:$A,$B11,Coefficients!$B:$B,"内力"),1)*SUMIFS(TestCases!$D:$D,TestCases!$A:$A,$A11)+SUMIFS(StandardParams!$F:$F,StandardParams!$B:$B,"内力")*IFERROR(SUMIFS(Coefficients!$F:$F,Coefficients!$A:$A,$B11,Coefficients!$B:$B,"内力"),1)+SUMIFS(EquipPlans!$I:$I,EquipPlans!$A:$A,$C11,EquipPlans!$B:$B,"内力")+G11*10)</f>
      </c>
      <c r="T11">
        <f>IF($A11="","",SUMIFS(StandardParams!$C:$C,StandardParams!$B:$B,"内力回复")*IFERROR(SUMIFS(Coefficients!$C:$C,Coefficients!$A:$A,$B11,Coefficients!$B:$B,"内力回复"),1)+SUMIFS(StandardParams!$D:$D,StandardParams!$B:$B,"内力回复")*IFERROR(SUMIFS(Coefficients!$D:$D,Coefficients!$A:$A,$B11,Coefficients!$B:$B,"内力回复"),1)*SUMIFS(TestCases!$D:$D,TestCases!$A:$A,$A11)+SUMIFS(StandardParams!$F:$F,StandardParams!$B:$B,"内力回复")*IFERROR(SUMIFS(Coefficients!$F:$F,Coefficients!$A:$A,$B11,Coefficients!$B:$B,"内力回复"),1)+SUMIFS(EquipPlans!$I:$I,EquipPlans!$A:$A,$C11,EquipPlans!$B:$B,"内力回复")+G11*0.5)</f>
      </c>
      <c r="U11">
        <f>IF($A11="","",SUMIFS(StandardParams!$C:$C,StandardParams!$B:$B,"气血恢复")*IFERROR(SUMIFS(Coefficients!$C:$C,Coefficients!$A:$A,$B11,Coefficients!$B:$B,"气血恢复"),1)+SUMIFS(StandardParams!$D:$D,StandardParams!$B:$B,"气血恢复")*IFERROR(SUMIFS(Coefficients!$D:$D,Coefficients!$A:$A,$B11,Coefficients!$B:$B,"气血恢复"),1)*SUMIFS(TestCases!$D:$D,TestCases!$A:$A,$A11)+SUMIFS(StandardParams!$F:$F,StandardParams!$B:$B,"气血恢复")*IFERROR(SUMIFS(Coefficients!$F:$F,Coefficients!$A:$A,$B11,Coefficients!$B:$B,"气血恢复"),1)+SUMIFS(EquipPlans!$I:$I,EquipPlans!$A:$A,$C11,EquipPlans!$B:$B,"气血恢复"))</f>
      </c>
      <c r="V11">
        <f>IF($A11="","",L11/(N11+L11+500))</f>
      </c>
      <c r="W11">
        <f>IF($A11="","",M11/(O11+M11+500))</f>
      </c>
      <c r="X11">
        <f>IF($A11="","",K11/(J11+K11))</f>
      </c>
    </row>
    <row r="12">
      <c r="A12">
        <f>IF(TestCases!A12="","",TestCases!A12)</f>
      </c>
      <c r="B12">
        <f>IF($A12="","",TestCases!B12)</f>
      </c>
      <c r="C12">
        <f>IF($A12="","",TestCases!C12)</f>
      </c>
      <c r="D12">
        <f>IF($A12="","",SUMIFS(StandardParams!$C:$C,StandardParams!$B:$B,"臂力")*IFERROR(SUMIFS(Coefficients!$C:$C,Coefficients!$A:$A,$B12,Coefficients!$B:$B,"臂力"),1)+SUMIFS(StandardParams!$D:$D,StandardParams!$B:$B,"臂力")*IFERROR(SUMIFS(Coefficients!$D:$D,Coefficients!$A:$A,$B12,Coefficients!$B:$B,"臂力"),1)*SUMIFS(TestCases!$D:$D,TestCases!$A:$A,$A12)*SUMIFS(StandardParams!$E:$E,StandardParams!$B:$B,"臂力")*IFERROR(SUMIFS(Coefficients!$E:$E,Coefficients!$A:$A,$B12,Coefficients!$B:$B,"臂力"),1)+SUMIFS(StandardParams!$F:$F,StandardParams!$B:$B,"臂力")*IFERROR(SUMIFS(Coefficients!$F:$F,Coefficients!$A:$A,$B12,Coefficients!$B:$B,"臂力"),1))</f>
      </c>
      <c r="E12">
        <f>IF($A12="","",SUMIFS(StandardParams!$C:$C,StandardParams!$B:$B,"技巧")*IFERROR(SUMIFS(Coefficients!$C:$C,Coefficients!$A:$A,$B12,Coefficients!$B:$B,"技巧"),1)+SUMIFS(StandardParams!$D:$D,StandardParams!$B:$B,"技巧")*IFERROR(SUMIFS(Coefficients!$D:$D,Coefficients!$A:$A,$B12,Coefficients!$B:$B,"技巧"),1)*SUMIFS(TestCases!$D:$D,TestCases!$A:$A,$A12)*SUMIFS(StandardParams!$E:$E,StandardParams!$B:$B,"技巧")*IFERROR(SUMIFS(Coefficients!$E:$E,Coefficients!$A:$A,$B12,Coefficients!$B:$B,"技巧"),1)+SUMIFS(StandardParams!$F:$F,StandardParams!$B:$B,"技巧")*IFERROR(SUMIFS(Coefficients!$F:$F,Coefficients!$A:$A,$B12,Coefficients!$B:$B,"技巧"),1))</f>
      </c>
      <c r="F12">
        <f>IF($A12="","",SUMIFS(StandardParams!$C:$C,StandardParams!$B:$B,"根骨")*IFERROR(SUMIFS(Coefficients!$C:$C,Coefficients!$A:$A,$B12,Coefficients!$B:$B,"根骨"),1)+SUMIFS(StandardParams!$D:$D,StandardParams!$B:$B,"根骨")*IFERROR(SUMIFS(Coefficients!$D:$D,Coefficients!$A:$A,$B12,Coefficients!$B:$B,"根骨"),1)*SUMIFS(TestCases!$D:$D,TestCases!$A:$A,$A12)*SUMIFS(StandardParams!$E:$E,StandardParams!$B:$B,"根骨")*IFERROR(SUMIFS(Coefficients!$E:$E,Coefficients!$A:$A,$B12,Coefficients!$B:$B,"根骨"),1)+SUMIFS(StandardParams!$F:$F,StandardParams!$B:$B,"根骨")*IFERROR(SUMIFS(Coefficients!$F:$F,Coefficients!$A:$A,$B12,Coefficients!$B:$B,"根骨"),1))</f>
      </c>
      <c r="G12">
        <f>IF($A12="","",SUMIFS(StandardParams!$C:$C,StandardParams!$B:$B,"内息")*IFERROR(SUMIFS(Coefficients!$C:$C,Coefficients!$A:$A,$B12,Coefficients!$B:$B,"内息"),1)+SUMIFS(StandardParams!$D:$D,StandardParams!$B:$B,"内息")*IFERROR(SUMIFS(Coefficients!$D:$D,Coefficients!$A:$A,$B12,Coefficients!$B:$B,"内息"),1)*SUMIFS(TestCases!$D:$D,TestCases!$A:$A,$A12)*SUMIFS(StandardParams!$E:$E,StandardParams!$B:$B,"内息")*IFERROR(SUMIFS(Coefficients!$E:$E,Coefficients!$A:$A,$B12,Coefficients!$B:$B,"内息"),1)+SUMIFS(StandardParams!$F:$F,StandardParams!$B:$B,"内息")*IFERROR(SUMIFS(Coefficients!$F:$F,Coefficients!$A:$A,$B12,Coefficients!$B:$B,"内息"),1))</f>
      </c>
      <c r="H12">
        <f>IF($A12="","",SUMIFS(StandardParams!$C:$C,StandardParams!$B:$B,"身法")*IFERROR(SUMIFS(Coefficients!$C:$C,Coefficients!$A:$A,$B12,Coefficients!$B:$B,"身法"),1)+SUMIFS(StandardParams!$D:$D,StandardParams!$B:$B,"身法")*IFERROR(SUMIFS(Coefficients!$D:$D,Coefficients!$A:$A,$B12,Coefficients!$B:$B,"身法"),1)*SUMIFS(TestCases!$D:$D,TestCases!$A:$A,$A12)*SUMIFS(StandardParams!$E:$E,StandardParams!$B:$B,"身法")*IFERROR(SUMIFS(Coefficients!$E:$E,Coefficients!$A:$A,$B12,Coefficients!$B:$B,"身法"),1)+SUMIFS(StandardParams!$F:$F,StandardParams!$B:$B,"身法")*IFERROR(SUMIFS(Coefficients!$F:$F,Coefficients!$A:$A,$B12,Coefficients!$B:$B,"身法"),1))</f>
      </c>
      <c r="I12">
        <f>IF($A12="","",SUMIFS(StandardParams!$C:$C,StandardParams!$B:$B,"定力")*IFERROR(SUMIFS(Coefficients!$C:$C,Coefficients!$A:$A,$B12,Coefficients!$B:$B,"定力"),1)+SUMIFS(StandardParams!$D:$D,StandardParams!$B:$B,"定力")*IFERROR(SUMIFS(Coefficients!$D:$D,Coefficients!$A:$A,$B12,Coefficients!$B:$B,"定力"),1)*SUMIFS(TestCases!$D:$D,TestCases!$A:$A,$A12)*SUMIFS(StandardParams!$E:$E,StandardParams!$B:$B,"定力")*IFERROR(SUMIFS(Coefficients!$E:$E,Coefficients!$A:$A,$B12,Coefficients!$B:$B,"定力"),1)+SUMIFS(StandardParams!$F:$F,StandardParams!$B:$B,"定力")*IFERROR(SUMIFS(Coefficients!$F:$F,Coefficients!$A:$A,$B12,Coefficients!$B:$B,"定力"),1))</f>
      </c>
      <c r="J12">
        <f>IF($A12="","",SUMIFS(StandardParams!$C:$C,StandardParams!$B:$B,"攻击")*IFERROR(SUMIFS(Coefficients!$C:$C,Coefficients!$A:$A,$B12,Coefficients!$B:$B,"攻击"),1)+SUMIFS(StandardParams!$D:$D,StandardParams!$B:$B,"攻击")*IFERROR(SUMIFS(Coefficients!$D:$D,Coefficients!$A:$A,$B12,Coefficients!$B:$B,"攻击"),1)*SUMIFS(TestCases!$D:$D,TestCases!$A:$A,$A12)+SUMIFS(StandardParams!$F:$F,StandardParams!$B:$B,"攻击")*IFERROR(SUMIFS(Coefficients!$F:$F,Coefficients!$A:$A,$B12,Coefficients!$B:$B,"攻击"),1)+SUMIFS(EquipPlans!$I:$I,EquipPlans!$A:$A,$C12,EquipPlans!$B:$B,"攻击")+D12*4)</f>
      </c>
      <c r="K12">
        <f>IF($A12="","",SUMIFS(StandardParams!$C:$C,StandardParams!$B:$B,"防御")*IFERROR(SUMIFS(Coefficients!$C:$C,Coefficients!$A:$A,$B12,Coefficients!$B:$B,"防御"),1)+SUMIFS(StandardParams!$D:$D,StandardParams!$B:$B,"防御")*IFERROR(SUMIFS(Coefficients!$D:$D,Coefficients!$A:$A,$B12,Coefficients!$B:$B,"防御"),1)*SUMIFS(TestCases!$D:$D,TestCases!$A:$A,$A12)+SUMIFS(StandardParams!$F:$F,StandardParams!$B:$B,"防御")*IFERROR(SUMIFS(Coefficients!$F:$F,Coefficients!$A:$A,$B12,Coefficients!$B:$B,"防御"),1)+SUMIFS(EquipPlans!$I:$I,EquipPlans!$A:$A,$C12,EquipPlans!$B:$B,"防御"))</f>
      </c>
      <c r="L12">
        <f>IF($A12="","",SUMIFS(StandardParams!$C:$C,StandardParams!$B:$B,"速度")*IFERROR(SUMIFS(Coefficients!$C:$C,Coefficients!$A:$A,$B12,Coefficients!$B:$B,"速度"),1)+SUMIFS(StandardParams!$D:$D,StandardParams!$B:$B,"速度")*IFERROR(SUMIFS(Coefficients!$D:$D,Coefficients!$A:$A,$B12,Coefficients!$B:$B,"速度"),1)*SUMIFS(TestCases!$D:$D,TestCases!$A:$A,$A12)+SUMIFS(StandardParams!$F:$F,StandardParams!$B:$B,"速度")*IFERROR(SUMIFS(Coefficients!$F:$F,Coefficients!$A:$A,$B12,Coefficients!$B:$B,"速度"),1)+SUMIFS(EquipPlans!$I:$I,EquipPlans!$A:$A,$C12,EquipPlans!$B:$B,"速度")+H12*2)</f>
      </c>
      <c r="M12">
        <f>IF($A12="","",SUMIFS(StandardParams!$C:$C,StandardParams!$B:$B,"命中")*IFERROR(SUMIFS(Coefficients!$C:$C,Coefficients!$A:$A,$B12,Coefficients!$B:$B,"命中"),1)+SUMIFS(StandardParams!$D:$D,StandardParams!$B:$B,"命中")*IFERROR(SUMIFS(Coefficients!$D:$D,Coefficients!$A:$A,$B12,Coefficients!$B:$B,"命中"),1)*SUMIFS(TestCases!$D:$D,TestCases!$A:$A,$A12)+SUMIFS(StandardParams!$F:$F,StandardParams!$B:$B,"命中")*IFERROR(SUMIFS(Coefficients!$F:$F,Coefficients!$A:$A,$B12,Coefficients!$B:$B,"命中"),1)+SUMIFS(EquipPlans!$I:$I,EquipPlans!$A:$A,$C12,EquipPlans!$B:$B,"命中")+E12*2)</f>
      </c>
      <c r="N12">
        <f>IF($A12="","",SUMIFS(StandardParams!$C:$C,StandardParams!$B:$B,"招架")*IFERROR(SUMIFS(Coefficients!$C:$C,Coefficients!$A:$A,$B12,Coefficients!$B:$B,"招架"),1)+SUMIFS(StandardParams!$D:$D,StandardParams!$B:$B,"招架")*IFERROR(SUMIFS(Coefficients!$D:$D,Coefficients!$A:$A,$B12,Coefficients!$B:$B,"招架"),1)*SUMIFS(TestCases!$D:$D,TestCases!$A:$A,$A12)+SUMIFS(StandardParams!$F:$F,StandardParams!$B:$B,"招架")*IFERROR(SUMIFS(Coefficients!$F:$F,Coefficients!$A:$A,$B12,Coefficients!$B:$B,"招架"),1)+SUMIFS(EquipPlans!$I:$I,EquipPlans!$A:$A,$C12,EquipPlans!$B:$B,"招架")+E12*2)</f>
      </c>
      <c r="O12">
        <f>IF($A12="","",SUMIFS(StandardParams!$C:$C,StandardParams!$B:$B,"偏斜")*IFERROR(SUMIFS(Coefficients!$C:$C,Coefficients!$A:$A,$B12,Coefficients!$B:$B,"偏斜"),1)+SUMIFS(StandardParams!$D:$D,StandardParams!$B:$B,"偏斜")*IFERROR(SUMIFS(Coefficients!$D:$D,Coefficients!$A:$A,$B12,Coefficients!$B:$B,"偏斜"),1)*SUMIFS(TestCases!$D:$D,TestCases!$A:$A,$A12)+SUMIFS(StandardParams!$F:$F,StandardParams!$B:$B,"偏斜")*IFERROR(SUMIFS(Coefficients!$F:$F,Coefficients!$A:$A,$B12,Coefficients!$B:$B,"偏斜"),1)+SUMIFS(EquipPlans!$I:$I,EquipPlans!$A:$A,$C12,EquipPlans!$B:$B,"偏斜")+H12*2)</f>
      </c>
      <c r="P12">
        <f>IF($A12="","",SUMIFS(StandardParams!$C:$C,StandardParams!$B:$B,"抵抗")*IFERROR(SUMIFS(Coefficients!$C:$C,Coefficients!$A:$A,$B12,Coefficients!$B:$B,"抵抗"),1)+SUMIFS(StandardParams!$D:$D,StandardParams!$B:$B,"抵抗")*IFERROR(SUMIFS(Coefficients!$D:$D,Coefficients!$A:$A,$B12,Coefficients!$B:$B,"抵抗"),1)*SUMIFS(TestCases!$D:$D,TestCases!$A:$A,$A12)+SUMIFS(StandardParams!$F:$F,StandardParams!$B:$B,"抵抗")*IFERROR(SUMIFS(Coefficients!$F:$F,Coefficients!$A:$A,$B12,Coefficients!$B:$B,"抵抗"),1)+SUMIFS(EquipPlans!$I:$I,EquipPlans!$A:$A,$C12,EquipPlans!$B:$B,"抵抗")+I12*2.5)</f>
      </c>
      <c r="Q12">
        <f>IF($A12="","",SUMIFS(StandardParams!$C:$C,StandardParams!$B:$B,"韧性")*IFERROR(SUMIFS(Coefficients!$C:$C,Coefficients!$A:$A,$B12,Coefficients!$B:$B,"韧性"),1)+SUMIFS(StandardParams!$D:$D,StandardParams!$B:$B,"韧性")*IFERROR(SUMIFS(Coefficients!$D:$D,Coefficients!$A:$A,$B12,Coefficients!$B:$B,"韧性"),1)*SUMIFS(TestCases!$D:$D,TestCases!$A:$A,$A12)+SUMIFS(StandardParams!$F:$F,StandardParams!$B:$B,"韧性")*IFERROR(SUMIFS(Coefficients!$F:$F,Coefficients!$A:$A,$B12,Coefficients!$B:$B,"韧性"),1)+SUMIFS(EquipPlans!$I:$I,EquipPlans!$A:$A,$C12,EquipPlans!$B:$B,"韧性")+F12)</f>
      </c>
      <c r="R12">
        <f>IF($A12="","",SUMIFS(StandardParams!$C:$C,StandardParams!$B:$B,"气血")*IFERROR(SUMIFS(Coefficients!$C:$C,Coefficients!$A:$A,$B12,Coefficients!$B:$B,"气血"),1)+SUMIFS(StandardParams!$D:$D,StandardParams!$B:$B,"气血")*IFERROR(SUMIFS(Coefficients!$D:$D,Coefficients!$A:$A,$B12,Coefficients!$B:$B,"气血"),1)*SUMIFS(TestCases!$D:$D,TestCases!$A:$A,$A12)+SUMIFS(StandardParams!$F:$F,StandardParams!$B:$B,"气血")*IFERROR(SUMIFS(Coefficients!$F:$F,Coefficients!$A:$A,$B12,Coefficients!$B:$B,"气血"),1)+SUMIFS(EquipPlans!$I:$I,EquipPlans!$A:$A,$C12,EquipPlans!$B:$B,"气血")+F12*20)</f>
      </c>
      <c r="S12">
        <f>IF($A12="","",SUMIFS(StandardParams!$C:$C,StandardParams!$B:$B,"内力")*IFERROR(SUMIFS(Coefficients!$C:$C,Coefficients!$A:$A,$B12,Coefficients!$B:$B,"内力"),1)+SUMIFS(StandardParams!$D:$D,StandardParams!$B:$B,"内力")*IFERROR(SUMIFS(Coefficients!$D:$D,Coefficients!$A:$A,$B12,Coefficients!$B:$B,"内力"),1)*SUMIFS(TestCases!$D:$D,TestCases!$A:$A,$A12)+SUMIFS(StandardParams!$F:$F,StandardParams!$B:$B,"内力")*IFERROR(SUMIFS(Coefficients!$F:$F,Coefficients!$A:$A,$B12,Coefficients!$B:$B,"内力"),1)+SUMIFS(EquipPlans!$I:$I,EquipPlans!$A:$A,$C12,EquipPlans!$B:$B,"内力")+G12*10)</f>
      </c>
      <c r="T12">
        <f>IF($A12="","",SUMIFS(StandardParams!$C:$C,StandardParams!$B:$B,"内力回复")*IFERROR(SUMIFS(Coefficients!$C:$C,Coefficients!$A:$A,$B12,Coefficients!$B:$B,"内力回复"),1)+SUMIFS(StandardParams!$D:$D,StandardParams!$B:$B,"内力回复")*IFERROR(SUMIFS(Coefficients!$D:$D,Coefficients!$A:$A,$B12,Coefficients!$B:$B,"内力回复"),1)*SUMIFS(TestCases!$D:$D,TestCases!$A:$A,$A12)+SUMIFS(StandardParams!$F:$F,StandardParams!$B:$B,"内力回复")*IFERROR(SUMIFS(Coefficients!$F:$F,Coefficients!$A:$A,$B12,Coefficients!$B:$B,"内力回复"),1)+SUMIFS(EquipPlans!$I:$I,EquipPlans!$A:$A,$C12,EquipPlans!$B:$B,"内力回复")+G12*0.5)</f>
      </c>
      <c r="U12">
        <f>IF($A12="","",SUMIFS(StandardParams!$C:$C,StandardParams!$B:$B,"气血恢复")*IFERROR(SUMIFS(Coefficients!$C:$C,Coefficients!$A:$A,$B12,Coefficients!$B:$B,"气血恢复"),1)+SUMIFS(StandardParams!$D:$D,StandardParams!$B:$B,"气血恢复")*IFERROR(SUMIFS(Coefficients!$D:$D,Coefficients!$A:$A,$B12,Coefficients!$B:$B,"气血恢复"),1)*SUMIFS(TestCases!$D:$D,TestCases!$A:$A,$A12)+SUMIFS(StandardParams!$F:$F,StandardParams!$B:$B,"气血恢复")*IFERROR(SUMIFS(Coefficients!$F:$F,Coefficients!$A:$A,$B12,Coefficients!$B:$B,"气血恢复"),1)+SUMIFS(EquipPlans!$I:$I,EquipPlans!$A:$A,$C12,EquipPlans!$B:$B,"气血恢复"))</f>
      </c>
      <c r="V12">
        <f>IF($A12="","",L12/(N12+L12+500))</f>
      </c>
      <c r="W12">
        <f>IF($A12="","",M12/(O12+M12+500))</f>
      </c>
      <c r="X12">
        <f>IF($A12="","",K12/(J12+K12))</f>
      </c>
    </row>
    <row r="13">
      <c r="A13">
        <f>IF(TestCases!A13="","",TestCases!A13)</f>
      </c>
      <c r="B13">
        <f>IF($A13="","",TestCases!B13)</f>
      </c>
      <c r="C13">
        <f>IF($A13="","",TestCases!C13)</f>
      </c>
      <c r="D13">
        <f>IF($A13="","",SUMIFS(StandardParams!$C:$C,StandardParams!$B:$B,"臂力")*IFERROR(SUMIFS(Coefficients!$C:$C,Coefficients!$A:$A,$B13,Coefficients!$B:$B,"臂力"),1)+SUMIFS(StandardParams!$D:$D,StandardParams!$B:$B,"臂力")*IFERROR(SUMIFS(Coefficients!$D:$D,Coefficients!$A:$A,$B13,Coefficients!$B:$B,"臂力"),1)*SUMIFS(TestCases!$D:$D,TestCases!$A:$A,$A13)*SUMIFS(StandardParams!$E:$E,StandardParams!$B:$B,"臂力")*IFERROR(SUMIFS(Coefficients!$E:$E,Coefficients!$A:$A,$B13,Coefficients!$B:$B,"臂力"),1)+SUMIFS(StandardParams!$F:$F,StandardParams!$B:$B,"臂力")*IFERROR(SUMIFS(Coefficients!$F:$F,Coefficients!$A:$A,$B13,Coefficients!$B:$B,"臂力"),1))</f>
      </c>
      <c r="E13">
        <f>IF($A13="","",SUMIFS(StandardParams!$C:$C,StandardParams!$B:$B,"技巧")*IFERROR(SUMIFS(Coefficients!$C:$C,Coefficients!$A:$A,$B13,Coefficients!$B:$B,"技巧"),1)+SUMIFS(StandardParams!$D:$D,StandardParams!$B:$B,"技巧")*IFERROR(SUMIFS(Coefficients!$D:$D,Coefficients!$A:$A,$B13,Coefficients!$B:$B,"技巧"),1)*SUMIFS(TestCases!$D:$D,TestCases!$A:$A,$A13)*SUMIFS(StandardParams!$E:$E,StandardParams!$B:$B,"技巧")*IFERROR(SUMIFS(Coefficients!$E:$E,Coefficients!$A:$A,$B13,Coefficients!$B:$B,"技巧"),1)+SUMIFS(StandardParams!$F:$F,StandardParams!$B:$B,"技巧")*IFERROR(SUMIFS(Coefficients!$F:$F,Coefficients!$A:$A,$B13,Coefficients!$B:$B,"技巧"),1))</f>
      </c>
      <c r="F13">
        <f>IF($A13="","",SUMIFS(StandardParams!$C:$C,StandardParams!$B:$B,"根骨")*IFERROR(SUMIFS(Coefficients!$C:$C,Coefficients!$A:$A,$B13,Coefficients!$B:$B,"根骨"),1)+SUMIFS(StandardParams!$D:$D,StandardParams!$B:$B,"根骨")*IFERROR(SUMIFS(Coefficients!$D:$D,Coefficients!$A:$A,$B13,Coefficients!$B:$B,"根骨"),1)*SUMIFS(TestCases!$D:$D,TestCases!$A:$A,$A13)*SUMIFS(StandardParams!$E:$E,StandardParams!$B:$B,"根骨")*IFERROR(SUMIFS(Coefficients!$E:$E,Coefficients!$A:$A,$B13,Coefficients!$B:$B,"根骨"),1)+SUMIFS(StandardParams!$F:$F,StandardParams!$B:$B,"根骨")*IFERROR(SUMIFS(Coefficients!$F:$F,Coefficients!$A:$A,$B13,Coefficients!$B:$B,"根骨"),1))</f>
      </c>
      <c r="G13">
        <f>IF($A13="","",SUMIFS(StandardParams!$C:$C,StandardParams!$B:$B,"内息")*IFERROR(SUMIFS(Coefficients!$C:$C,Coefficients!$A:$A,$B13,Coefficients!$B:$B,"内息"),1)+SUMIFS(StandardParams!$D:$D,StandardParams!$B:$B,"内息")*IFERROR(SUMIFS(Coefficients!$D:$D,Coefficients!$A:$A,$B13,Coefficients!$B:$B,"内息"),1)*SUMIFS(TestCases!$D:$D,TestCases!$A:$A,$A13)*SUMIFS(StandardParams!$E:$E,StandardParams!$B:$B,"内息")*IFERROR(SUMIFS(Coefficients!$E:$E,Coefficients!$A:$A,$B13,Coefficients!$B:$B,"内息"),1)+SUMIFS(StandardParams!$F:$F,StandardParams!$B:$B,"内息")*IFERROR(SUMIFS(Coefficients!$F:$F,Coefficients!$A:$A,$B13,Coefficients!$B:$B,"内息"),1))</f>
      </c>
      <c r="H13">
        <f>IF($A13="","",SUMIFS(StandardParams!$C:$C,StandardParams!$B:$B,"身法")*IFERROR(SUMIFS(Coefficients!$C:$C,Coefficients!$A:$A,$B13,Coefficients!$B:$B,"身法"),1)+SUMIFS(StandardParams!$D:$D,StandardParams!$B:$B,"身法")*IFERROR(SUMIFS(Coefficients!$D:$D,Coefficients!$A:$A,$B13,Coefficients!$B:$B,"身法"),1)*SUMIFS(TestCases!$D:$D,TestCases!$A:$A,$A13)*SUMIFS(StandardParams!$E:$E,StandardParams!$B:$B,"身法")*IFERROR(SUMIFS(Coefficients!$E:$E,Coefficients!$A:$A,$B13,Coefficients!$B:$B,"身法"),1)+SUMIFS(StandardParams!$F:$F,StandardParams!$B:$B,"身法")*IFERROR(SUMIFS(Coefficients!$F:$F,Coefficients!$A:$A,$B13,Coefficients!$B:$B,"身法"),1))</f>
      </c>
      <c r="I13">
        <f>IF($A13="","",SUMIFS(StandardParams!$C:$C,StandardParams!$B:$B,"定力")*IFERROR(SUMIFS(Coefficients!$C:$C,Coefficients!$A:$A,$B13,Coefficients!$B:$B,"定力"),1)+SUMIFS(StandardParams!$D:$D,StandardParams!$B:$B,"定力")*IFERROR(SUMIFS(Coefficients!$D:$D,Coefficients!$A:$A,$B13,Coefficients!$B:$B,"定力"),1)*SUMIFS(TestCases!$D:$D,TestCases!$A:$A,$A13)*SUMIFS(StandardParams!$E:$E,StandardParams!$B:$B,"定力")*IFERROR(SUMIFS(Coefficients!$E:$E,Coefficients!$A:$A,$B13,Coefficients!$B:$B,"定力"),1)+SUMIFS(StandardParams!$F:$F,StandardParams!$B:$B,"定力")*IFERROR(SUMIFS(Coefficients!$F:$F,Coefficients!$A:$A,$B13,Coefficients!$B:$B,"定力"),1))</f>
      </c>
      <c r="J13">
        <f>IF($A13="","",SUMIFS(StandardParams!$C:$C,StandardParams!$B:$B,"攻击")*IFERROR(SUMIFS(Coefficients!$C:$C,Coefficients!$A:$A,$B13,Coefficients!$B:$B,"攻击"),1)+SUMIFS(StandardParams!$D:$D,StandardParams!$B:$B,"攻击")*IFERROR(SUMIFS(Coefficients!$D:$D,Coefficients!$A:$A,$B13,Coefficients!$B:$B,"攻击"),1)*SUMIFS(TestCases!$D:$D,TestCases!$A:$A,$A13)+SUMIFS(StandardParams!$F:$F,StandardParams!$B:$B,"攻击")*IFERROR(SUMIFS(Coefficients!$F:$F,Coefficients!$A:$A,$B13,Coefficients!$B:$B,"攻击"),1)+SUMIFS(EquipPlans!$I:$I,EquipPlans!$A:$A,$C13,EquipPlans!$B:$B,"攻击")+D13*4)</f>
      </c>
      <c r="K13">
        <f>IF($A13="","",SUMIFS(StandardParams!$C:$C,StandardParams!$B:$B,"防御")*IFERROR(SUMIFS(Coefficients!$C:$C,Coefficients!$A:$A,$B13,Coefficients!$B:$B,"防御"),1)+SUMIFS(StandardParams!$D:$D,StandardParams!$B:$B,"防御")*IFERROR(SUMIFS(Coefficients!$D:$D,Coefficients!$A:$A,$B13,Coefficients!$B:$B,"防御"),1)*SUMIFS(TestCases!$D:$D,TestCases!$A:$A,$A13)+SUMIFS(StandardParams!$F:$F,StandardParams!$B:$B,"防御")*IFERROR(SUMIFS(Coefficients!$F:$F,Coefficients!$A:$A,$B13,Coefficients!$B:$B,"防御"),1)+SUMIFS(EquipPlans!$I:$I,EquipPlans!$A:$A,$C13,EquipPlans!$B:$B,"防御"))</f>
      </c>
      <c r="L13">
        <f>IF($A13="","",SUMIFS(StandardParams!$C:$C,StandardParams!$B:$B,"速度")*IFERROR(SUMIFS(Coefficients!$C:$C,Coefficients!$A:$A,$B13,Coefficients!$B:$B,"速度"),1)+SUMIFS(StandardParams!$D:$D,StandardParams!$B:$B,"速度")*IFERROR(SUMIFS(Coefficients!$D:$D,Coefficients!$A:$A,$B13,Coefficients!$B:$B,"速度"),1)*SUMIFS(TestCases!$D:$D,TestCases!$A:$A,$A13)+SUMIFS(StandardParams!$F:$F,StandardParams!$B:$B,"速度")*IFERROR(SUMIFS(Coefficients!$F:$F,Coefficients!$A:$A,$B13,Coefficients!$B:$B,"速度"),1)+SUMIFS(EquipPlans!$I:$I,EquipPlans!$A:$A,$C13,EquipPlans!$B:$B,"速度")+H13*2)</f>
      </c>
      <c r="M13">
        <f>IF($A13="","",SUMIFS(StandardParams!$C:$C,StandardParams!$B:$B,"命中")*IFERROR(SUMIFS(Coefficients!$C:$C,Coefficients!$A:$A,$B13,Coefficients!$B:$B,"命中"),1)+SUMIFS(StandardParams!$D:$D,StandardParams!$B:$B,"命中")*IFERROR(SUMIFS(Coefficients!$D:$D,Coefficients!$A:$A,$B13,Coefficients!$B:$B,"命中"),1)*SUMIFS(TestCases!$D:$D,TestCases!$A:$A,$A13)+SUMIFS(StandardParams!$F:$F,StandardParams!$B:$B,"命中")*IFERROR(SUMIFS(Coefficients!$F:$F,Coefficients!$A:$A,$B13,Coefficients!$B:$B,"命中"),1)+SUMIFS(EquipPlans!$I:$I,EquipPlans!$A:$A,$C13,EquipPlans!$B:$B,"命中")+E13*2)</f>
      </c>
      <c r="N13">
        <f>IF($A13="","",SUMIFS(StandardParams!$C:$C,StandardParams!$B:$B,"招架")*IFERROR(SUMIFS(Coefficients!$C:$C,Coefficients!$A:$A,$B13,Coefficients!$B:$B,"招架"),1)+SUMIFS(StandardParams!$D:$D,StandardParams!$B:$B,"招架")*IFERROR(SUMIFS(Coefficients!$D:$D,Coefficients!$A:$A,$B13,Coefficients!$B:$B,"招架"),1)*SUMIFS(TestCases!$D:$D,TestCases!$A:$A,$A13)+SUMIFS(StandardParams!$F:$F,StandardParams!$B:$B,"招架")*IFERROR(SUMIFS(Coefficients!$F:$F,Coefficients!$A:$A,$B13,Coefficients!$B:$B,"招架"),1)+SUMIFS(EquipPlans!$I:$I,EquipPlans!$A:$A,$C13,EquipPlans!$B:$B,"招架")+E13*2)</f>
      </c>
      <c r="O13">
        <f>IF($A13="","",SUMIFS(StandardParams!$C:$C,StandardParams!$B:$B,"偏斜")*IFERROR(SUMIFS(Coefficients!$C:$C,Coefficients!$A:$A,$B13,Coefficients!$B:$B,"偏斜"),1)+SUMIFS(StandardParams!$D:$D,StandardParams!$B:$B,"偏斜")*IFERROR(SUMIFS(Coefficients!$D:$D,Coefficients!$A:$A,$B13,Coefficients!$B:$B,"偏斜"),1)*SUMIFS(TestCases!$D:$D,TestCases!$A:$A,$A13)+SUMIFS(StandardParams!$F:$F,StandardParams!$B:$B,"偏斜")*IFERROR(SUMIFS(Coefficients!$F:$F,Coefficients!$A:$A,$B13,Coefficients!$B:$B,"偏斜"),1)+SUMIFS(EquipPlans!$I:$I,EquipPlans!$A:$A,$C13,EquipPlans!$B:$B,"偏斜")+H13*2)</f>
      </c>
      <c r="P13">
        <f>IF($A13="","",SUMIFS(StandardParams!$C:$C,StandardParams!$B:$B,"抵抗")*IFERROR(SUMIFS(Coefficients!$C:$C,Coefficients!$A:$A,$B13,Coefficients!$B:$B,"抵抗"),1)+SUMIFS(StandardParams!$D:$D,StandardParams!$B:$B,"抵抗")*IFERROR(SUMIFS(Coefficients!$D:$D,Coefficients!$A:$A,$B13,Coefficients!$B:$B,"抵抗"),1)*SUMIFS(TestCases!$D:$D,TestCases!$A:$A,$A13)+SUMIFS(StandardParams!$F:$F,StandardParams!$B:$B,"抵抗")*IFERROR(SUMIFS(Coefficients!$F:$F,Coefficients!$A:$A,$B13,Coefficients!$B:$B,"抵抗"),1)+SUMIFS(EquipPlans!$I:$I,EquipPlans!$A:$A,$C13,EquipPlans!$B:$B,"抵抗")+I13*2.5)</f>
      </c>
      <c r="Q13">
        <f>IF($A13="","",SUMIFS(StandardParams!$C:$C,StandardParams!$B:$B,"韧性")*IFERROR(SUMIFS(Coefficients!$C:$C,Coefficients!$A:$A,$B13,Coefficients!$B:$B,"韧性"),1)+SUMIFS(StandardParams!$D:$D,StandardParams!$B:$B,"韧性")*IFERROR(SUMIFS(Coefficients!$D:$D,Coefficients!$A:$A,$B13,Coefficients!$B:$B,"韧性"),1)*SUMIFS(TestCases!$D:$D,TestCases!$A:$A,$A13)+SUMIFS(StandardParams!$F:$F,StandardParams!$B:$B,"韧性")*IFERROR(SUMIFS(Coefficients!$F:$F,Coefficients!$A:$A,$B13,Coefficients!$B:$B,"韧性"),1)+SUMIFS(EquipPlans!$I:$I,EquipPlans!$A:$A,$C13,EquipPlans!$B:$B,"韧性")+F13)</f>
      </c>
      <c r="R13">
        <f>IF($A13="","",SUMIFS(StandardParams!$C:$C,StandardParams!$B:$B,"气血")*IFERROR(SUMIFS(Coefficients!$C:$C,Coefficients!$A:$A,$B13,Coefficients!$B:$B,"气血"),1)+SUMIFS(StandardParams!$D:$D,StandardParams!$B:$B,"气血")*IFERROR(SUMIFS(Coefficients!$D:$D,Coefficients!$A:$A,$B13,Coefficients!$B:$B,"气血"),1)*SUMIFS(TestCases!$D:$D,TestCases!$A:$A,$A13)+SUMIFS(StandardParams!$F:$F,StandardParams!$B:$B,"气血")*IFERROR(SUMIFS(Coefficients!$F:$F,Coefficients!$A:$A,$B13,Coefficients!$B:$B,"气血"),1)+SUMIFS(EquipPlans!$I:$I,EquipPlans!$A:$A,$C13,EquipPlans!$B:$B,"气血")+F13*20)</f>
      </c>
      <c r="S13">
        <f>IF($A13="","",SUMIFS(StandardParams!$C:$C,StandardParams!$B:$B,"内力")*IFERROR(SUMIFS(Coefficients!$C:$C,Coefficients!$A:$A,$B13,Coefficients!$B:$B,"内力"),1)+SUMIFS(StandardParams!$D:$D,StandardParams!$B:$B,"内力")*IFERROR(SUMIFS(Coefficients!$D:$D,Coefficients!$A:$A,$B13,Coefficients!$B:$B,"内力"),1)*SUMIFS(TestCases!$D:$D,TestCases!$A:$A,$A13)+SUMIFS(StandardParams!$F:$F,StandardParams!$B:$B,"内力")*IFERROR(SUMIFS(Coefficients!$F:$F,Coefficients!$A:$A,$B13,Coefficients!$B:$B,"内力"),1)+SUMIFS(EquipPlans!$I:$I,EquipPlans!$A:$A,$C13,EquipPlans!$B:$B,"内力")+G13*10)</f>
      </c>
      <c r="T13">
        <f>IF($A13="","",SUMIFS(StandardParams!$C:$C,StandardParams!$B:$B,"内力回复")*IFERROR(SUMIFS(Coefficients!$C:$C,Coefficients!$A:$A,$B13,Coefficients!$B:$B,"内力回复"),1)+SUMIFS(StandardParams!$D:$D,StandardParams!$B:$B,"内力回复")*IFERROR(SUMIFS(Coefficients!$D:$D,Coefficients!$A:$A,$B13,Coefficients!$B:$B,"内力回复"),1)*SUMIFS(TestCases!$D:$D,TestCases!$A:$A,$A13)+SUMIFS(StandardParams!$F:$F,StandardParams!$B:$B,"内力回复")*IFERROR(SUMIFS(Coefficients!$F:$F,Coefficients!$A:$A,$B13,Coefficients!$B:$B,"内力回复"),1)+SUMIFS(EquipPlans!$I:$I,EquipPlans!$A:$A,$C13,EquipPlans!$B:$B,"内力回复")+G13*0.5)</f>
      </c>
      <c r="U13">
        <f>IF($A13="","",SUMIFS(StandardParams!$C:$C,StandardParams!$B:$B,"气血恢复")*IFERROR(SUMIFS(Coefficients!$C:$C,Coefficients!$A:$A,$B13,Coefficients!$B:$B,"气血恢复"),1)+SUMIFS(StandardParams!$D:$D,StandardParams!$B:$B,"气血恢复")*IFERROR(SUMIFS(Coefficients!$D:$D,Coefficients!$A:$A,$B13,Coefficients!$B:$B,"气血恢复"),1)*SUMIFS(TestCases!$D:$D,TestCases!$A:$A,$A13)+SUMIFS(StandardParams!$F:$F,StandardParams!$B:$B,"气血恢复")*IFERROR(SUMIFS(Coefficients!$F:$F,Coefficients!$A:$A,$B13,Coefficients!$B:$B,"气血恢复"),1)+SUMIFS(EquipPlans!$I:$I,EquipPlans!$A:$A,$C13,EquipPlans!$B:$B,"气血恢复"))</f>
      </c>
      <c r="V13">
        <f>IF($A13="","",L13/(N13+L13+500))</f>
      </c>
      <c r="W13">
        <f>IF($A13="","",M13/(O13+M13+500))</f>
      </c>
      <c r="X13">
        <f>IF($A13="","",K13/(J13+K13))</f>
      </c>
    </row>
    <row r="14">
      <c r="A14">
        <f>IF(TestCases!A14="","",TestCases!A14)</f>
      </c>
      <c r="B14">
        <f>IF($A14="","",TestCases!B14)</f>
      </c>
      <c r="C14">
        <f>IF($A14="","",TestCases!C14)</f>
      </c>
      <c r="D14">
        <f>IF($A14="","",SUMIFS(StandardParams!$C:$C,StandardParams!$B:$B,"臂力")*IFERROR(SUMIFS(Coefficients!$C:$C,Coefficients!$A:$A,$B14,Coefficients!$B:$B,"臂力"),1)+SUMIFS(StandardParams!$D:$D,StandardParams!$B:$B,"臂力")*IFERROR(SUMIFS(Coefficients!$D:$D,Coefficients!$A:$A,$B14,Coefficients!$B:$B,"臂力"),1)*SUMIFS(TestCases!$D:$D,TestCases!$A:$A,$A14)*SUMIFS(StandardParams!$E:$E,StandardParams!$B:$B,"臂力")*IFERROR(SUMIFS(Coefficients!$E:$E,Coefficients!$A:$A,$B14,Coefficients!$B:$B,"臂力"),1)+SUMIFS(StandardParams!$F:$F,StandardParams!$B:$B,"臂力")*IFERROR(SUMIFS(Coefficients!$F:$F,Coefficients!$A:$A,$B14,Coefficients!$B:$B,"臂力"),1))</f>
      </c>
      <c r="E14">
        <f>IF($A14="","",SUMIFS(StandardParams!$C:$C,StandardParams!$B:$B,"技巧")*IFERROR(SUMIFS(Coefficients!$C:$C,Coefficients!$A:$A,$B14,Coefficients!$B:$B,"技巧"),1)+SUMIFS(StandardParams!$D:$D,StandardParams!$B:$B,"技巧")*IFERROR(SUMIFS(Coefficients!$D:$D,Coefficients!$A:$A,$B14,Coefficients!$B:$B,"技巧"),1)*SUMIFS(TestCases!$D:$D,TestCases!$A:$A,$A14)*SUMIFS(StandardParams!$E:$E,StandardParams!$B:$B,"技巧")*IFERROR(SUMIFS(Coefficients!$E:$E,Coefficients!$A:$A,$B14,Coefficients!$B:$B,"技巧"),1)+SUMIFS(StandardParams!$F:$F,StandardParams!$B:$B,"技巧")*IFERROR(SUMIFS(Coefficients!$F:$F,Coefficients!$A:$A,$B14,Coefficients!$B:$B,"技巧"),1))</f>
      </c>
      <c r="F14">
        <f>IF($A14="","",SUMIFS(StandardParams!$C:$C,StandardParams!$B:$B,"根骨")*IFERROR(SUMIFS(Coefficients!$C:$C,Coefficients!$A:$A,$B14,Coefficients!$B:$B,"根骨"),1)+SUMIFS(StandardParams!$D:$D,StandardParams!$B:$B,"根骨")*IFERROR(SUMIFS(Coefficients!$D:$D,Coefficients!$A:$A,$B14,Coefficients!$B:$B,"根骨"),1)*SUMIFS(TestCases!$D:$D,TestCases!$A:$A,$A14)*SUMIFS(StandardParams!$E:$E,StandardParams!$B:$B,"根骨")*IFERROR(SUMIFS(Coefficients!$E:$E,Coefficients!$A:$A,$B14,Coefficients!$B:$B,"根骨"),1)+SUMIFS(StandardParams!$F:$F,StandardParams!$B:$B,"根骨")*IFERROR(SUMIFS(Coefficients!$F:$F,Coefficients!$A:$A,$B14,Coefficients!$B:$B,"根骨"),1))</f>
      </c>
      <c r="G14">
        <f>IF($A14="","",SUMIFS(StandardParams!$C:$C,StandardParams!$B:$B,"内息")*IFERROR(SUMIFS(Coefficients!$C:$C,Coefficients!$A:$A,$B14,Coefficients!$B:$B,"内息"),1)+SUMIFS(StandardParams!$D:$D,StandardParams!$B:$B,"内息")*IFERROR(SUMIFS(Coefficients!$D:$D,Coefficients!$A:$A,$B14,Coefficients!$B:$B,"内息"),1)*SUMIFS(TestCases!$D:$D,TestCases!$A:$A,$A14)*SUMIFS(StandardParams!$E:$E,StandardParams!$B:$B,"内息")*IFERROR(SUMIFS(Coefficients!$E:$E,Coefficients!$A:$A,$B14,Coefficients!$B:$B,"内息"),1)+SUMIFS(StandardParams!$F:$F,StandardParams!$B:$B,"内息")*IFERROR(SUMIFS(Coefficients!$F:$F,Coefficients!$A:$A,$B14,Coefficients!$B:$B,"内息"),1))</f>
      </c>
      <c r="H14">
        <f>IF($A14="","",SUMIFS(StandardParams!$C:$C,StandardParams!$B:$B,"身法")*IFERROR(SUMIFS(Coefficients!$C:$C,Coefficients!$A:$A,$B14,Coefficients!$B:$B,"身法"),1)+SUMIFS(StandardParams!$D:$D,StandardParams!$B:$B,"身法")*IFERROR(SUMIFS(Coefficients!$D:$D,Coefficients!$A:$A,$B14,Coefficients!$B:$B,"身法"),1)*SUMIFS(TestCases!$D:$D,TestCases!$A:$A,$A14)*SUMIFS(StandardParams!$E:$E,StandardParams!$B:$B,"身法")*IFERROR(SUMIFS(Coefficients!$E:$E,Coefficients!$A:$A,$B14,Coefficients!$B:$B,"身法"),1)+SUMIFS(StandardParams!$F:$F,StandardParams!$B:$B,"身法")*IFERROR(SUMIFS(Coefficients!$F:$F,Coefficients!$A:$A,$B14,Coefficients!$B:$B,"身法"),1))</f>
      </c>
      <c r="I14">
        <f>IF($A14="","",SUMIFS(StandardParams!$C:$C,StandardParams!$B:$B,"定力")*IFERROR(SUMIFS(Coefficients!$C:$C,Coefficients!$A:$A,$B14,Coefficients!$B:$B,"定力"),1)+SUMIFS(StandardParams!$D:$D,StandardParams!$B:$B,"定力")*IFERROR(SUMIFS(Coefficients!$D:$D,Coefficients!$A:$A,$B14,Coefficients!$B:$B,"定力"),1)*SUMIFS(TestCases!$D:$D,TestCases!$A:$A,$A14)*SUMIFS(StandardParams!$E:$E,StandardParams!$B:$B,"定力")*IFERROR(SUMIFS(Coefficients!$E:$E,Coefficients!$A:$A,$B14,Coefficients!$B:$B,"定力"),1)+SUMIFS(StandardParams!$F:$F,StandardParams!$B:$B,"定力")*IFERROR(SUMIFS(Coefficients!$F:$F,Coefficients!$A:$A,$B14,Coefficients!$B:$B,"定力"),1))</f>
      </c>
      <c r="J14">
        <f>IF($A14="","",SUMIFS(StandardParams!$C:$C,StandardParams!$B:$B,"攻击")*IFERROR(SUMIFS(Coefficients!$C:$C,Coefficients!$A:$A,$B14,Coefficients!$B:$B,"攻击"),1)+SUMIFS(StandardParams!$D:$D,StandardParams!$B:$B,"攻击")*IFERROR(SUMIFS(Coefficients!$D:$D,Coefficients!$A:$A,$B14,Coefficients!$B:$B,"攻击"),1)*SUMIFS(TestCases!$D:$D,TestCases!$A:$A,$A14)+SUMIFS(StandardParams!$F:$F,StandardParams!$B:$B,"攻击")*IFERROR(SUMIFS(Coefficients!$F:$F,Coefficients!$A:$A,$B14,Coefficients!$B:$B,"攻击"),1)+SUMIFS(EquipPlans!$I:$I,EquipPlans!$A:$A,$C14,EquipPlans!$B:$B,"攻击")+D14*4)</f>
      </c>
      <c r="K14">
        <f>IF($A14="","",SUMIFS(StandardParams!$C:$C,StandardParams!$B:$B,"防御")*IFERROR(SUMIFS(Coefficients!$C:$C,Coefficients!$A:$A,$B14,Coefficients!$B:$B,"防御"),1)+SUMIFS(StandardParams!$D:$D,StandardParams!$B:$B,"防御")*IFERROR(SUMIFS(Coefficients!$D:$D,Coefficients!$A:$A,$B14,Coefficients!$B:$B,"防御"),1)*SUMIFS(TestCases!$D:$D,TestCases!$A:$A,$A14)+SUMIFS(StandardParams!$F:$F,StandardParams!$B:$B,"防御")*IFERROR(SUMIFS(Coefficients!$F:$F,Coefficients!$A:$A,$B14,Coefficients!$B:$B,"防御"),1)+SUMIFS(EquipPlans!$I:$I,EquipPlans!$A:$A,$C14,EquipPlans!$B:$B,"防御"))</f>
      </c>
      <c r="L14">
        <f>IF($A14="","",SUMIFS(StandardParams!$C:$C,StandardParams!$B:$B,"速度")*IFERROR(SUMIFS(Coefficients!$C:$C,Coefficients!$A:$A,$B14,Coefficients!$B:$B,"速度"),1)+SUMIFS(StandardParams!$D:$D,StandardParams!$B:$B,"速度")*IFERROR(SUMIFS(Coefficients!$D:$D,Coefficients!$A:$A,$B14,Coefficients!$B:$B,"速度"),1)*SUMIFS(TestCases!$D:$D,TestCases!$A:$A,$A14)+SUMIFS(StandardParams!$F:$F,StandardParams!$B:$B,"速度")*IFERROR(SUMIFS(Coefficients!$F:$F,Coefficients!$A:$A,$B14,Coefficients!$B:$B,"速度"),1)+SUMIFS(EquipPlans!$I:$I,EquipPlans!$A:$A,$C14,EquipPlans!$B:$B,"速度")+H14*2)</f>
      </c>
      <c r="M14">
        <f>IF($A14="","",SUMIFS(StandardParams!$C:$C,StandardParams!$B:$B,"命中")*IFERROR(SUMIFS(Coefficients!$C:$C,Coefficients!$A:$A,$B14,Coefficients!$B:$B,"命中"),1)+SUMIFS(StandardParams!$D:$D,StandardParams!$B:$B,"命中")*IFERROR(SUMIFS(Coefficients!$D:$D,Coefficients!$A:$A,$B14,Coefficients!$B:$B,"命中"),1)*SUMIFS(TestCases!$D:$D,TestCases!$A:$A,$A14)+SUMIFS(StandardParams!$F:$F,StandardParams!$B:$B,"命中")*IFERROR(SUMIFS(Coefficients!$F:$F,Coefficients!$A:$A,$B14,Coefficients!$B:$B,"命中"),1)+SUMIFS(EquipPlans!$I:$I,EquipPlans!$A:$A,$C14,EquipPlans!$B:$B,"命中")+E14*2)</f>
      </c>
      <c r="N14">
        <f>IF($A14="","",SUMIFS(StandardParams!$C:$C,StandardParams!$B:$B,"招架")*IFERROR(SUMIFS(Coefficients!$C:$C,Coefficients!$A:$A,$B14,Coefficients!$B:$B,"招架"),1)+SUMIFS(StandardParams!$D:$D,StandardParams!$B:$B,"招架")*IFERROR(SUMIFS(Coefficients!$D:$D,Coefficients!$A:$A,$B14,Coefficients!$B:$B,"招架"),1)*SUMIFS(TestCases!$D:$D,TestCases!$A:$A,$A14)+SUMIFS(StandardParams!$F:$F,StandardParams!$B:$B,"招架")*IFERROR(SUMIFS(Coefficients!$F:$F,Coefficients!$A:$A,$B14,Coefficients!$B:$B,"招架"),1)+SUMIFS(EquipPlans!$I:$I,EquipPlans!$A:$A,$C14,EquipPlans!$B:$B,"招架")+E14*2)</f>
      </c>
      <c r="O14">
        <f>IF($A14="","",SUMIFS(StandardParams!$C:$C,StandardParams!$B:$B,"偏斜")*IFERROR(SUMIFS(Coefficients!$C:$C,Coefficients!$A:$A,$B14,Coefficients!$B:$B,"偏斜"),1)+SUMIFS(StandardParams!$D:$D,StandardParams!$B:$B,"偏斜")*IFERROR(SUMIFS(Coefficients!$D:$D,Coefficients!$A:$A,$B14,Coefficients!$B:$B,"偏斜"),1)*SUMIFS(TestCases!$D:$D,TestCases!$A:$A,$A14)+SUMIFS(StandardParams!$F:$F,StandardParams!$B:$B,"偏斜")*IFERROR(SUMIFS(Coefficients!$F:$F,Coefficients!$A:$A,$B14,Coefficients!$B:$B,"偏斜"),1)+SUMIFS(EquipPlans!$I:$I,EquipPlans!$A:$A,$C14,EquipPlans!$B:$B,"偏斜")+H14*2)</f>
      </c>
      <c r="P14">
        <f>IF($A14="","",SUMIFS(StandardParams!$C:$C,StandardParams!$B:$B,"抵抗")*IFERROR(SUMIFS(Coefficients!$C:$C,Coefficients!$A:$A,$B14,Coefficients!$B:$B,"抵抗"),1)+SUMIFS(StandardParams!$D:$D,StandardParams!$B:$B,"抵抗")*IFERROR(SUMIFS(Coefficients!$D:$D,Coefficients!$A:$A,$B14,Coefficients!$B:$B,"抵抗"),1)*SUMIFS(TestCases!$D:$D,TestCases!$A:$A,$A14)+SUMIFS(StandardParams!$F:$F,StandardParams!$B:$B,"抵抗")*IFERROR(SUMIFS(Coefficients!$F:$F,Coefficients!$A:$A,$B14,Coefficients!$B:$B,"抵抗"),1)+SUMIFS(EquipPlans!$I:$I,EquipPlans!$A:$A,$C14,EquipPlans!$B:$B,"抵抗")+I14*2.5)</f>
      </c>
      <c r="Q14">
        <f>IF($A14="","",SUMIFS(StandardParams!$C:$C,StandardParams!$B:$B,"韧性")*IFERROR(SUMIFS(Coefficients!$C:$C,Coefficients!$A:$A,$B14,Coefficients!$B:$B,"韧性"),1)+SUMIFS(StandardParams!$D:$D,StandardParams!$B:$B,"韧性")*IFERROR(SUMIFS(Coefficients!$D:$D,Coefficients!$A:$A,$B14,Coefficients!$B:$B,"韧性"),1)*SUMIFS(TestCases!$D:$D,TestCases!$A:$A,$A14)+SUMIFS(StandardParams!$F:$F,StandardParams!$B:$B,"韧性")*IFERROR(SUMIFS(Coefficients!$F:$F,Coefficients!$A:$A,$B14,Coefficients!$B:$B,"韧性"),1)+SUMIFS(EquipPlans!$I:$I,EquipPlans!$A:$A,$C14,EquipPlans!$B:$B,"韧性")+F14)</f>
      </c>
      <c r="R14">
        <f>IF($A14="","",SUMIFS(StandardParams!$C:$C,StandardParams!$B:$B,"气血")*IFERROR(SUMIFS(Coefficients!$C:$C,Coefficients!$A:$A,$B14,Coefficients!$B:$B,"气血"),1)+SUMIFS(StandardParams!$D:$D,StandardParams!$B:$B,"气血")*IFERROR(SUMIFS(Coefficients!$D:$D,Coefficients!$A:$A,$B14,Coefficients!$B:$B,"气血"),1)*SUMIFS(TestCases!$D:$D,TestCases!$A:$A,$A14)+SUMIFS(StandardParams!$F:$F,StandardParams!$B:$B,"气血")*IFERROR(SUMIFS(Coefficients!$F:$F,Coefficients!$A:$A,$B14,Coefficients!$B:$B,"气血"),1)+SUMIFS(EquipPlans!$I:$I,EquipPlans!$A:$A,$C14,EquipPlans!$B:$B,"气血")+F14*20)</f>
      </c>
      <c r="S14">
        <f>IF($A14="","",SUMIFS(StandardParams!$C:$C,StandardParams!$B:$B,"内力")*IFERROR(SUMIFS(Coefficients!$C:$C,Coefficients!$A:$A,$B14,Coefficients!$B:$B,"内力"),1)+SUMIFS(StandardParams!$D:$D,StandardParams!$B:$B,"内力")*IFERROR(SUMIFS(Coefficients!$D:$D,Coefficients!$A:$A,$B14,Coefficients!$B:$B,"内力"),1)*SUMIFS(TestCases!$D:$D,TestCases!$A:$A,$A14)+SUMIFS(StandardParams!$F:$F,StandardParams!$B:$B,"内力")*IFERROR(SUMIFS(Coefficients!$F:$F,Coefficients!$A:$A,$B14,Coefficients!$B:$B,"内力"),1)+SUMIFS(EquipPlans!$I:$I,EquipPlans!$A:$A,$C14,EquipPlans!$B:$B,"内力")+G14*10)</f>
      </c>
      <c r="T14">
        <f>IF($A14="","",SUMIFS(StandardParams!$C:$C,StandardParams!$B:$B,"内力回复")*IFERROR(SUMIFS(Coefficients!$C:$C,Coefficients!$A:$A,$B14,Coefficients!$B:$B,"内力回复"),1)+SUMIFS(StandardParams!$D:$D,StandardParams!$B:$B,"内力回复")*IFERROR(SUMIFS(Coefficients!$D:$D,Coefficients!$A:$A,$B14,Coefficients!$B:$B,"内力回复"),1)*SUMIFS(TestCases!$D:$D,TestCases!$A:$A,$A14)+SUMIFS(StandardParams!$F:$F,StandardParams!$B:$B,"内力回复")*IFERROR(SUMIFS(Coefficients!$F:$F,Coefficients!$A:$A,$B14,Coefficients!$B:$B,"内力回复"),1)+SUMIFS(EquipPlans!$I:$I,EquipPlans!$A:$A,$C14,EquipPlans!$B:$B,"内力回复")+G14*0.5)</f>
      </c>
      <c r="U14">
        <f>IF($A14="","",SUMIFS(StandardParams!$C:$C,StandardParams!$B:$B,"气血恢复")*IFERROR(SUMIFS(Coefficients!$C:$C,Coefficients!$A:$A,$B14,Coefficients!$B:$B,"气血恢复"),1)+SUMIFS(StandardParams!$D:$D,StandardParams!$B:$B,"气血恢复")*IFERROR(SUMIFS(Coefficients!$D:$D,Coefficients!$A:$A,$B14,Coefficients!$B:$B,"气血恢复"),1)*SUMIFS(TestCases!$D:$D,TestCases!$A:$A,$A14)+SUMIFS(StandardParams!$F:$F,StandardParams!$B:$B,"气血恢复")*IFERROR(SUMIFS(Coefficients!$F:$F,Coefficients!$A:$A,$B14,Coefficients!$B:$B,"气血恢复"),1)+SUMIFS(EquipPlans!$I:$I,EquipPlans!$A:$A,$C14,EquipPlans!$B:$B,"气血恢复"))</f>
      </c>
      <c r="V14">
        <f>IF($A14="","",L14/(N14+L14+500))</f>
      </c>
      <c r="W14">
        <f>IF($A14="","",M14/(O14+M14+500))</f>
      </c>
      <c r="X14">
        <f>IF($A14="","",K14/(J14+K14))</f>
      </c>
    </row>
    <row r="15">
      <c r="A15">
        <f>IF(TestCases!A15="","",TestCases!A15)</f>
      </c>
      <c r="B15">
        <f>IF($A15="","",TestCases!B15)</f>
      </c>
      <c r="C15">
        <f>IF($A15="","",TestCases!C15)</f>
      </c>
      <c r="D15">
        <f>IF($A15="","",SUMIFS(StandardParams!$C:$C,StandardParams!$B:$B,"臂力")*IFERROR(SUMIFS(Coefficients!$C:$C,Coefficients!$A:$A,$B15,Coefficients!$B:$B,"臂力"),1)+SUMIFS(StandardParams!$D:$D,StandardParams!$B:$B,"臂力")*IFERROR(SUMIFS(Coefficients!$D:$D,Coefficients!$A:$A,$B15,Coefficients!$B:$B,"臂力"),1)*SUMIFS(TestCases!$D:$D,TestCases!$A:$A,$A15)*SUMIFS(StandardParams!$E:$E,StandardParams!$B:$B,"臂力")*IFERROR(SUMIFS(Coefficients!$E:$E,Coefficients!$A:$A,$B15,Coefficients!$B:$B,"臂力"),1)+SUMIFS(StandardParams!$F:$F,StandardParams!$B:$B,"臂力")*IFERROR(SUMIFS(Coefficients!$F:$F,Coefficients!$A:$A,$B15,Coefficients!$B:$B,"臂力"),1))</f>
      </c>
      <c r="E15">
        <f>IF($A15="","",SUMIFS(StandardParams!$C:$C,StandardParams!$B:$B,"技巧")*IFERROR(SUMIFS(Coefficients!$C:$C,Coefficients!$A:$A,$B15,Coefficients!$B:$B,"技巧"),1)+SUMIFS(StandardParams!$D:$D,StandardParams!$B:$B,"技巧")*IFERROR(SUMIFS(Coefficients!$D:$D,Coefficients!$A:$A,$B15,Coefficients!$B:$B,"技巧"),1)*SUMIFS(TestCases!$D:$D,TestCases!$A:$A,$A15)*SUMIFS(StandardParams!$E:$E,StandardParams!$B:$B,"技巧")*IFERROR(SUMIFS(Coefficients!$E:$E,Coefficients!$A:$A,$B15,Coefficients!$B:$B,"技巧"),1)+SUMIFS(StandardParams!$F:$F,StandardParams!$B:$B,"技巧")*IFERROR(SUMIFS(Coefficients!$F:$F,Coefficients!$A:$A,$B15,Coefficients!$B:$B,"技巧"),1))</f>
      </c>
      <c r="F15">
        <f>IF($A15="","",SUMIFS(StandardParams!$C:$C,StandardParams!$B:$B,"根骨")*IFERROR(SUMIFS(Coefficients!$C:$C,Coefficients!$A:$A,$B15,Coefficients!$B:$B,"根骨"),1)+SUMIFS(StandardParams!$D:$D,StandardParams!$B:$B,"根骨")*IFERROR(SUMIFS(Coefficients!$D:$D,Coefficients!$A:$A,$B15,Coefficients!$B:$B,"根骨"),1)*SUMIFS(TestCases!$D:$D,TestCases!$A:$A,$A15)*SUMIFS(StandardParams!$E:$E,StandardParams!$B:$B,"根骨")*IFERROR(SUMIFS(Coefficients!$E:$E,Coefficients!$A:$A,$B15,Coefficients!$B:$B,"根骨"),1)+SUMIFS(StandardParams!$F:$F,StandardParams!$B:$B,"根骨")*IFERROR(SUMIFS(Coefficients!$F:$F,Coefficients!$A:$A,$B15,Coefficients!$B:$B,"根骨"),1))</f>
      </c>
      <c r="G15">
        <f>IF($A15="","",SUMIFS(StandardParams!$C:$C,StandardParams!$B:$B,"内息")*IFERROR(SUMIFS(Coefficients!$C:$C,Coefficients!$A:$A,$B15,Coefficients!$B:$B,"内息"),1)+SUMIFS(StandardParams!$D:$D,StandardParams!$B:$B,"内息")*IFERROR(SUMIFS(Coefficients!$D:$D,Coefficients!$A:$A,$B15,Coefficients!$B:$B,"内息"),1)*SUMIFS(TestCases!$D:$D,TestCases!$A:$A,$A15)*SUMIFS(StandardParams!$E:$E,StandardParams!$B:$B,"内息")*IFERROR(SUMIFS(Coefficients!$E:$E,Coefficients!$A:$A,$B15,Coefficients!$B:$B,"内息"),1)+SUMIFS(StandardParams!$F:$F,StandardParams!$B:$B,"内息")*IFERROR(SUMIFS(Coefficients!$F:$F,Coefficients!$A:$A,$B15,Coefficients!$B:$B,"内息"),1))</f>
      </c>
      <c r="H15">
        <f>IF($A15="","",SUMIFS(StandardParams!$C:$C,StandardParams!$B:$B,"身法")*IFERROR(SUMIFS(Coefficients!$C:$C,Coefficients!$A:$A,$B15,Coefficients!$B:$B,"身法"),1)+SUMIFS(StandardParams!$D:$D,StandardParams!$B:$B,"身法")*IFERROR(SUMIFS(Coefficients!$D:$D,Coefficients!$A:$A,$B15,Coefficients!$B:$B,"身法"),1)*SUMIFS(TestCases!$D:$D,TestCases!$A:$A,$A15)*SUMIFS(StandardParams!$E:$E,StandardParams!$B:$B,"身法")*IFERROR(SUMIFS(Coefficients!$E:$E,Coefficients!$A:$A,$B15,Coefficients!$B:$B,"身法"),1)+SUMIFS(StandardParams!$F:$F,StandardParams!$B:$B,"身法")*IFERROR(SUMIFS(Coefficients!$F:$F,Coefficients!$A:$A,$B15,Coefficients!$B:$B,"身法"),1))</f>
      </c>
      <c r="I15">
        <f>IF($A15="","",SUMIFS(StandardParams!$C:$C,StandardParams!$B:$B,"定力")*IFERROR(SUMIFS(Coefficients!$C:$C,Coefficients!$A:$A,$B15,Coefficients!$B:$B,"定力"),1)+SUMIFS(StandardParams!$D:$D,StandardParams!$B:$B,"定力")*IFERROR(SUMIFS(Coefficients!$D:$D,Coefficients!$A:$A,$B15,Coefficients!$B:$B,"定力"),1)*SUMIFS(TestCases!$D:$D,TestCases!$A:$A,$A15)*SUMIFS(StandardParams!$E:$E,StandardParams!$B:$B,"定力")*IFERROR(SUMIFS(Coefficients!$E:$E,Coefficients!$A:$A,$B15,Coefficients!$B:$B,"定力"),1)+SUMIFS(StandardParams!$F:$F,StandardParams!$B:$B,"定力")*IFERROR(SUMIFS(Coefficients!$F:$F,Coefficients!$A:$A,$B15,Coefficients!$B:$B,"定力"),1))</f>
      </c>
      <c r="J15">
        <f>IF($A15="","",SUMIFS(StandardParams!$C:$C,StandardParams!$B:$B,"攻击")*IFERROR(SUMIFS(Coefficients!$C:$C,Coefficients!$A:$A,$B15,Coefficients!$B:$B,"攻击"),1)+SUMIFS(StandardParams!$D:$D,StandardParams!$B:$B,"攻击")*IFERROR(SUMIFS(Coefficients!$D:$D,Coefficients!$A:$A,$B15,Coefficients!$B:$B,"攻击"),1)*SUMIFS(TestCases!$D:$D,TestCases!$A:$A,$A15)+SUMIFS(StandardParams!$F:$F,StandardParams!$B:$B,"攻击")*IFERROR(SUMIFS(Coefficients!$F:$F,Coefficients!$A:$A,$B15,Coefficients!$B:$B,"攻击"),1)+SUMIFS(EquipPlans!$I:$I,EquipPlans!$A:$A,$C15,EquipPlans!$B:$B,"攻击")+D15*4)</f>
      </c>
      <c r="K15">
        <f>IF($A15="","",SUMIFS(StandardParams!$C:$C,StandardParams!$B:$B,"防御")*IFERROR(SUMIFS(Coefficients!$C:$C,Coefficients!$A:$A,$B15,Coefficients!$B:$B,"防御"),1)+SUMIFS(StandardParams!$D:$D,StandardParams!$B:$B,"防御")*IFERROR(SUMIFS(Coefficients!$D:$D,Coefficients!$A:$A,$B15,Coefficients!$B:$B,"防御"),1)*SUMIFS(TestCases!$D:$D,TestCases!$A:$A,$A15)+SUMIFS(StandardParams!$F:$F,StandardParams!$B:$B,"防御")*IFERROR(SUMIFS(Coefficients!$F:$F,Coefficients!$A:$A,$B15,Coefficients!$B:$B,"防御"),1)+SUMIFS(EquipPlans!$I:$I,EquipPlans!$A:$A,$C15,EquipPlans!$B:$B,"防御"))</f>
      </c>
      <c r="L15">
        <f>IF($A15="","",SUMIFS(StandardParams!$C:$C,StandardParams!$B:$B,"速度")*IFERROR(SUMIFS(Coefficients!$C:$C,Coefficients!$A:$A,$B15,Coefficients!$B:$B,"速度"),1)+SUMIFS(StandardParams!$D:$D,StandardParams!$B:$B,"速度")*IFERROR(SUMIFS(Coefficients!$D:$D,Coefficients!$A:$A,$B15,Coefficients!$B:$B,"速度"),1)*SUMIFS(TestCases!$D:$D,TestCases!$A:$A,$A15)+SUMIFS(StandardParams!$F:$F,StandardParams!$B:$B,"速度")*IFERROR(SUMIFS(Coefficients!$F:$F,Coefficients!$A:$A,$B15,Coefficients!$B:$B,"速度"),1)+SUMIFS(EquipPlans!$I:$I,EquipPlans!$A:$A,$C15,EquipPlans!$B:$B,"速度")+H15*2)</f>
      </c>
      <c r="M15">
        <f>IF($A15="","",SUMIFS(StandardParams!$C:$C,StandardParams!$B:$B,"命中")*IFERROR(SUMIFS(Coefficients!$C:$C,Coefficients!$A:$A,$B15,Coefficients!$B:$B,"命中"),1)+SUMIFS(StandardParams!$D:$D,StandardParams!$B:$B,"命中")*IFERROR(SUMIFS(Coefficients!$D:$D,Coefficients!$A:$A,$B15,Coefficients!$B:$B,"命中"),1)*SUMIFS(TestCases!$D:$D,TestCases!$A:$A,$A15)+SUMIFS(StandardParams!$F:$F,StandardParams!$B:$B,"命中")*IFERROR(SUMIFS(Coefficients!$F:$F,Coefficients!$A:$A,$B15,Coefficients!$B:$B,"命中"),1)+SUMIFS(EquipPlans!$I:$I,EquipPlans!$A:$A,$C15,EquipPlans!$B:$B,"命中")+E15*2)</f>
      </c>
      <c r="N15">
        <f>IF($A15="","",SUMIFS(StandardParams!$C:$C,StandardParams!$B:$B,"招架")*IFERROR(SUMIFS(Coefficients!$C:$C,Coefficients!$A:$A,$B15,Coefficients!$B:$B,"招架"),1)+SUMIFS(StandardParams!$D:$D,StandardParams!$B:$B,"招架")*IFERROR(SUMIFS(Coefficients!$D:$D,Coefficients!$A:$A,$B15,Coefficients!$B:$B,"招架"),1)*SUMIFS(TestCases!$D:$D,TestCases!$A:$A,$A15)+SUMIFS(StandardParams!$F:$F,StandardParams!$B:$B,"招架")*IFERROR(SUMIFS(Coefficients!$F:$F,Coefficients!$A:$A,$B15,Coefficients!$B:$B,"招架"),1)+SUMIFS(EquipPlans!$I:$I,EquipPlans!$A:$A,$C15,EquipPlans!$B:$B,"招架")+E15*2)</f>
      </c>
      <c r="O15">
        <f>IF($A15="","",SUMIFS(StandardParams!$C:$C,StandardParams!$B:$B,"偏斜")*IFERROR(SUMIFS(Coefficients!$C:$C,Coefficients!$A:$A,$B15,Coefficients!$B:$B,"偏斜"),1)+SUMIFS(StandardParams!$D:$D,StandardParams!$B:$B,"偏斜")*IFERROR(SUMIFS(Coefficients!$D:$D,Coefficients!$A:$A,$B15,Coefficients!$B:$B,"偏斜"),1)*SUMIFS(TestCases!$D:$D,TestCases!$A:$A,$A15)+SUMIFS(StandardParams!$F:$F,StandardParams!$B:$B,"偏斜")*IFERROR(SUMIFS(Coefficients!$F:$F,Coefficients!$A:$A,$B15,Coefficients!$B:$B,"偏斜"),1)+SUMIFS(EquipPlans!$I:$I,EquipPlans!$A:$A,$C15,EquipPlans!$B:$B,"偏斜")+H15*2)</f>
      </c>
      <c r="P15">
        <f>IF($A15="","",SUMIFS(StandardParams!$C:$C,StandardParams!$B:$B,"抵抗")*IFERROR(SUMIFS(Coefficients!$C:$C,Coefficients!$A:$A,$B15,Coefficients!$B:$B,"抵抗"),1)+SUMIFS(StandardParams!$D:$D,StandardParams!$B:$B,"抵抗")*IFERROR(SUMIFS(Coefficients!$D:$D,Coefficients!$A:$A,$B15,Coefficients!$B:$B,"抵抗"),1)*SUMIFS(TestCases!$D:$D,TestCases!$A:$A,$A15)+SUMIFS(StandardParams!$F:$F,StandardParams!$B:$B,"抵抗")*IFERROR(SUMIFS(Coefficients!$F:$F,Coefficients!$A:$A,$B15,Coefficients!$B:$B,"抵抗"),1)+SUMIFS(EquipPlans!$I:$I,EquipPlans!$A:$A,$C15,EquipPlans!$B:$B,"抵抗")+I15*2.5)</f>
      </c>
      <c r="Q15">
        <f>IF($A15="","",SUMIFS(StandardParams!$C:$C,StandardParams!$B:$B,"韧性")*IFERROR(SUMIFS(Coefficients!$C:$C,Coefficients!$A:$A,$B15,Coefficients!$B:$B,"韧性"),1)+SUMIFS(StandardParams!$D:$D,StandardParams!$B:$B,"韧性")*IFERROR(SUMIFS(Coefficients!$D:$D,Coefficients!$A:$A,$B15,Coefficients!$B:$B,"韧性"),1)*SUMIFS(TestCases!$D:$D,TestCases!$A:$A,$A15)+SUMIFS(StandardParams!$F:$F,StandardParams!$B:$B,"韧性")*IFERROR(SUMIFS(Coefficients!$F:$F,Coefficients!$A:$A,$B15,Coefficients!$B:$B,"韧性"),1)+SUMIFS(EquipPlans!$I:$I,EquipPlans!$A:$A,$C15,EquipPlans!$B:$B,"韧性")+F15)</f>
      </c>
      <c r="R15">
        <f>IF($A15="","",SUMIFS(StandardParams!$C:$C,StandardParams!$B:$B,"气血")*IFERROR(SUMIFS(Coefficients!$C:$C,Coefficients!$A:$A,$B15,Coefficients!$B:$B,"气血"),1)+SUMIFS(StandardParams!$D:$D,StandardParams!$B:$B,"气血")*IFERROR(SUMIFS(Coefficients!$D:$D,Coefficients!$A:$A,$B15,Coefficients!$B:$B,"气血"),1)*SUMIFS(TestCases!$D:$D,TestCases!$A:$A,$A15)+SUMIFS(StandardParams!$F:$F,StandardParams!$B:$B,"气血")*IFERROR(SUMIFS(Coefficients!$F:$F,Coefficients!$A:$A,$B15,Coefficients!$B:$B,"气血"),1)+SUMIFS(EquipPlans!$I:$I,EquipPlans!$A:$A,$C15,EquipPlans!$B:$B,"气血")+F15*20)</f>
      </c>
      <c r="S15">
        <f>IF($A15="","",SUMIFS(StandardParams!$C:$C,StandardParams!$B:$B,"内力")*IFERROR(SUMIFS(Coefficients!$C:$C,Coefficients!$A:$A,$B15,Coefficients!$B:$B,"内力"),1)+SUMIFS(StandardParams!$D:$D,StandardParams!$B:$B,"内力")*IFERROR(SUMIFS(Coefficients!$D:$D,Coefficients!$A:$A,$B15,Coefficients!$B:$B,"内力"),1)*SUMIFS(TestCases!$D:$D,TestCases!$A:$A,$A15)+SUMIFS(StandardParams!$F:$F,StandardParams!$B:$B,"内力")*IFERROR(SUMIFS(Coefficients!$F:$F,Coefficients!$A:$A,$B15,Coefficients!$B:$B,"内力"),1)+SUMIFS(EquipPlans!$I:$I,EquipPlans!$A:$A,$C15,EquipPlans!$B:$B,"内力")+G15*10)</f>
      </c>
      <c r="T15">
        <f>IF($A15="","",SUMIFS(StandardParams!$C:$C,StandardParams!$B:$B,"内力回复")*IFERROR(SUMIFS(Coefficients!$C:$C,Coefficients!$A:$A,$B15,Coefficients!$B:$B,"内力回复"),1)+SUMIFS(StandardParams!$D:$D,StandardParams!$B:$B,"内力回复")*IFERROR(SUMIFS(Coefficients!$D:$D,Coefficients!$A:$A,$B15,Coefficients!$B:$B,"内力回复"),1)*SUMIFS(TestCases!$D:$D,TestCases!$A:$A,$A15)+SUMIFS(StandardParams!$F:$F,StandardParams!$B:$B,"内力回复")*IFERROR(SUMIFS(Coefficients!$F:$F,Coefficients!$A:$A,$B15,Coefficients!$B:$B,"内力回复"),1)+SUMIFS(EquipPlans!$I:$I,EquipPlans!$A:$A,$C15,EquipPlans!$B:$B,"内力回复")+G15*0.5)</f>
      </c>
      <c r="U15">
        <f>IF($A15="","",SUMIFS(StandardParams!$C:$C,StandardParams!$B:$B,"气血恢复")*IFERROR(SUMIFS(Coefficients!$C:$C,Coefficients!$A:$A,$B15,Coefficients!$B:$B,"气血恢复"),1)+SUMIFS(StandardParams!$D:$D,StandardParams!$B:$B,"气血恢复")*IFERROR(SUMIFS(Coefficients!$D:$D,Coefficients!$A:$A,$B15,Coefficients!$B:$B,"气血恢复"),1)*SUMIFS(TestCases!$D:$D,TestCases!$A:$A,$A15)+SUMIFS(StandardParams!$F:$F,StandardParams!$B:$B,"气血恢复")*IFERROR(SUMIFS(Coefficients!$F:$F,Coefficients!$A:$A,$B15,Coefficients!$B:$B,"气血恢复"),1)+SUMIFS(EquipPlans!$I:$I,EquipPlans!$A:$A,$C15,EquipPlans!$B:$B,"气血恢复"))</f>
      </c>
      <c r="V15">
        <f>IF($A15="","",L15/(N15+L15+500))</f>
      </c>
      <c r="W15">
        <f>IF($A15="","",M15/(O15+M15+500))</f>
      </c>
      <c r="X15">
        <f>IF($A15="","",K15/(J15+K15))</f>
      </c>
    </row>
    <row r="16">
      <c r="A16">
        <f>IF(TestCases!A16="","",TestCases!A16)</f>
      </c>
      <c r="B16">
        <f>IF($A16="","",TestCases!B16)</f>
      </c>
      <c r="C16">
        <f>IF($A16="","",TestCases!C16)</f>
      </c>
      <c r="D16">
        <f>IF($A16="","",SUMIFS(StandardParams!$C:$C,StandardParams!$B:$B,"臂力")*IFERROR(SUMIFS(Coefficients!$C:$C,Coefficients!$A:$A,$B16,Coefficients!$B:$B,"臂力"),1)+SUMIFS(StandardParams!$D:$D,StandardParams!$B:$B,"臂力")*IFERROR(SUMIFS(Coefficients!$D:$D,Coefficients!$A:$A,$B16,Coefficients!$B:$B,"臂力"),1)*SUMIFS(TestCases!$D:$D,TestCases!$A:$A,$A16)*SUMIFS(StandardParams!$E:$E,StandardParams!$B:$B,"臂力")*IFERROR(SUMIFS(Coefficients!$E:$E,Coefficients!$A:$A,$B16,Coefficients!$B:$B,"臂力"),1)+SUMIFS(StandardParams!$F:$F,StandardParams!$B:$B,"臂力")*IFERROR(SUMIFS(Coefficients!$F:$F,Coefficients!$A:$A,$B16,Coefficients!$B:$B,"臂力"),1))</f>
      </c>
      <c r="E16">
        <f>IF($A16="","",SUMIFS(StandardParams!$C:$C,StandardParams!$B:$B,"技巧")*IFERROR(SUMIFS(Coefficients!$C:$C,Coefficients!$A:$A,$B16,Coefficients!$B:$B,"技巧"),1)+SUMIFS(StandardParams!$D:$D,StandardParams!$B:$B,"技巧")*IFERROR(SUMIFS(Coefficients!$D:$D,Coefficients!$A:$A,$B16,Coefficients!$B:$B,"技巧"),1)*SUMIFS(TestCases!$D:$D,TestCases!$A:$A,$A16)*SUMIFS(StandardParams!$E:$E,StandardParams!$B:$B,"技巧")*IFERROR(SUMIFS(Coefficients!$E:$E,Coefficients!$A:$A,$B16,Coefficients!$B:$B,"技巧"),1)+SUMIFS(StandardParams!$F:$F,StandardParams!$B:$B,"技巧")*IFERROR(SUMIFS(Coefficients!$F:$F,Coefficients!$A:$A,$B16,Coefficients!$B:$B,"技巧"),1))</f>
      </c>
      <c r="F16">
        <f>IF($A16="","",SUMIFS(StandardParams!$C:$C,StandardParams!$B:$B,"根骨")*IFERROR(SUMIFS(Coefficients!$C:$C,Coefficients!$A:$A,$B16,Coefficients!$B:$B,"根骨"),1)+SUMIFS(StandardParams!$D:$D,StandardParams!$B:$B,"根骨")*IFERROR(SUMIFS(Coefficients!$D:$D,Coefficients!$A:$A,$B16,Coefficients!$B:$B,"根骨"),1)*SUMIFS(TestCases!$D:$D,TestCases!$A:$A,$A16)*SUMIFS(StandardParams!$E:$E,StandardParams!$B:$B,"根骨")*IFERROR(SUMIFS(Coefficients!$E:$E,Coefficients!$A:$A,$B16,Coefficients!$B:$B,"根骨"),1)+SUMIFS(StandardParams!$F:$F,StandardParams!$B:$B,"根骨")*IFERROR(SUMIFS(Coefficients!$F:$F,Coefficients!$A:$A,$B16,Coefficients!$B:$B,"根骨"),1))</f>
      </c>
      <c r="G16">
        <f>IF($A16="","",SUMIFS(StandardParams!$C:$C,StandardParams!$B:$B,"内息")*IFERROR(SUMIFS(Coefficients!$C:$C,Coefficients!$A:$A,$B16,Coefficients!$B:$B,"内息"),1)+SUMIFS(StandardParams!$D:$D,StandardParams!$B:$B,"内息")*IFERROR(SUMIFS(Coefficients!$D:$D,Coefficients!$A:$A,$B16,Coefficients!$B:$B,"内息"),1)*SUMIFS(TestCases!$D:$D,TestCases!$A:$A,$A16)*SUMIFS(StandardParams!$E:$E,StandardParams!$B:$B,"内息")*IFERROR(SUMIFS(Coefficients!$E:$E,Coefficients!$A:$A,$B16,Coefficients!$B:$B,"内息"),1)+SUMIFS(StandardParams!$F:$F,StandardParams!$B:$B,"内息")*IFERROR(SUMIFS(Coefficients!$F:$F,Coefficients!$A:$A,$B16,Coefficients!$B:$B,"内息"),1))</f>
      </c>
      <c r="H16">
        <f>IF($A16="","",SUMIFS(StandardParams!$C:$C,StandardParams!$B:$B,"身法")*IFERROR(SUMIFS(Coefficients!$C:$C,Coefficients!$A:$A,$B16,Coefficients!$B:$B,"身法"),1)+SUMIFS(StandardParams!$D:$D,StandardParams!$B:$B,"身法")*IFERROR(SUMIFS(Coefficients!$D:$D,Coefficients!$A:$A,$B16,Coefficients!$B:$B,"身法"),1)*SUMIFS(TestCases!$D:$D,TestCases!$A:$A,$A16)*SUMIFS(StandardParams!$E:$E,StandardParams!$B:$B,"身法")*IFERROR(SUMIFS(Coefficients!$E:$E,Coefficients!$A:$A,$B16,Coefficients!$B:$B,"身法"),1)+SUMIFS(StandardParams!$F:$F,StandardParams!$B:$B,"身法")*IFERROR(SUMIFS(Coefficients!$F:$F,Coefficients!$A:$A,$B16,Coefficients!$B:$B,"身法"),1))</f>
      </c>
      <c r="I16">
        <f>IF($A16="","",SUMIFS(StandardParams!$C:$C,StandardParams!$B:$B,"定力")*IFERROR(SUMIFS(Coefficients!$C:$C,Coefficients!$A:$A,$B16,Coefficients!$B:$B,"定力"),1)+SUMIFS(StandardParams!$D:$D,StandardParams!$B:$B,"定力")*IFERROR(SUMIFS(Coefficients!$D:$D,Coefficients!$A:$A,$B16,Coefficients!$B:$B,"定力"),1)*SUMIFS(TestCases!$D:$D,TestCases!$A:$A,$A16)*SUMIFS(StandardParams!$E:$E,StandardParams!$B:$B,"定力")*IFERROR(SUMIFS(Coefficients!$E:$E,Coefficients!$A:$A,$B16,Coefficients!$B:$B,"定力"),1)+SUMIFS(StandardParams!$F:$F,StandardParams!$B:$B,"定力")*IFERROR(SUMIFS(Coefficients!$F:$F,Coefficients!$A:$A,$B16,Coefficients!$B:$B,"定力"),1))</f>
      </c>
      <c r="J16">
        <f>IF($A16="","",SUMIFS(StandardParams!$C:$C,StandardParams!$B:$B,"攻击")*IFERROR(SUMIFS(Coefficients!$C:$C,Coefficients!$A:$A,$B16,Coefficients!$B:$B,"攻击"),1)+SUMIFS(StandardParams!$D:$D,StandardParams!$B:$B,"攻击")*IFERROR(SUMIFS(Coefficients!$D:$D,Coefficients!$A:$A,$B16,Coefficients!$B:$B,"攻击"),1)*SUMIFS(TestCases!$D:$D,TestCases!$A:$A,$A16)+SUMIFS(StandardParams!$F:$F,StandardParams!$B:$B,"攻击")*IFERROR(SUMIFS(Coefficients!$F:$F,Coefficients!$A:$A,$B16,Coefficients!$B:$B,"攻击"),1)+SUMIFS(EquipPlans!$I:$I,EquipPlans!$A:$A,$C16,EquipPlans!$B:$B,"攻击")+D16*4)</f>
      </c>
      <c r="K16">
        <f>IF($A16="","",SUMIFS(StandardParams!$C:$C,StandardParams!$B:$B,"防御")*IFERROR(SUMIFS(Coefficients!$C:$C,Coefficients!$A:$A,$B16,Coefficients!$B:$B,"防御"),1)+SUMIFS(StandardParams!$D:$D,StandardParams!$B:$B,"防御")*IFERROR(SUMIFS(Coefficients!$D:$D,Coefficients!$A:$A,$B16,Coefficients!$B:$B,"防御"),1)*SUMIFS(TestCases!$D:$D,TestCases!$A:$A,$A16)+SUMIFS(StandardParams!$F:$F,StandardParams!$B:$B,"防御")*IFERROR(SUMIFS(Coefficients!$F:$F,Coefficients!$A:$A,$B16,Coefficients!$B:$B,"防御"),1)+SUMIFS(EquipPlans!$I:$I,EquipPlans!$A:$A,$C16,EquipPlans!$B:$B,"防御"))</f>
      </c>
      <c r="L16">
        <f>IF($A16="","",SUMIFS(StandardParams!$C:$C,StandardParams!$B:$B,"速度")*IFERROR(SUMIFS(Coefficients!$C:$C,Coefficients!$A:$A,$B16,Coefficients!$B:$B,"速度"),1)+SUMIFS(StandardParams!$D:$D,StandardParams!$B:$B,"速度")*IFERROR(SUMIFS(Coefficients!$D:$D,Coefficients!$A:$A,$B16,Coefficients!$B:$B,"速度"),1)*SUMIFS(TestCases!$D:$D,TestCases!$A:$A,$A16)+SUMIFS(StandardParams!$F:$F,StandardParams!$B:$B,"速度")*IFERROR(SUMIFS(Coefficients!$F:$F,Coefficients!$A:$A,$B16,Coefficients!$B:$B,"速度"),1)+SUMIFS(EquipPlans!$I:$I,EquipPlans!$A:$A,$C16,EquipPlans!$B:$B,"速度")+H16*2)</f>
      </c>
      <c r="M16">
        <f>IF($A16="","",SUMIFS(StandardParams!$C:$C,StandardParams!$B:$B,"命中")*IFERROR(SUMIFS(Coefficients!$C:$C,Coefficients!$A:$A,$B16,Coefficients!$B:$B,"命中"),1)+SUMIFS(StandardParams!$D:$D,StandardParams!$B:$B,"命中")*IFERROR(SUMIFS(Coefficients!$D:$D,Coefficients!$A:$A,$B16,Coefficients!$B:$B,"命中"),1)*SUMIFS(TestCases!$D:$D,TestCases!$A:$A,$A16)+SUMIFS(StandardParams!$F:$F,StandardParams!$B:$B,"命中")*IFERROR(SUMIFS(Coefficients!$F:$F,Coefficients!$A:$A,$B16,Coefficients!$B:$B,"命中"),1)+SUMIFS(EquipPlans!$I:$I,EquipPlans!$A:$A,$C16,EquipPlans!$B:$B,"命中")+E16*2)</f>
      </c>
      <c r="N16">
        <f>IF($A16="","",SUMIFS(StandardParams!$C:$C,StandardParams!$B:$B,"招架")*IFERROR(SUMIFS(Coefficients!$C:$C,Coefficients!$A:$A,$B16,Coefficients!$B:$B,"招架"),1)+SUMIFS(StandardParams!$D:$D,StandardParams!$B:$B,"招架")*IFERROR(SUMIFS(Coefficients!$D:$D,Coefficients!$A:$A,$B16,Coefficients!$B:$B,"招架"),1)*SUMIFS(TestCases!$D:$D,TestCases!$A:$A,$A16)+SUMIFS(StandardParams!$F:$F,StandardParams!$B:$B,"招架")*IFERROR(SUMIFS(Coefficients!$F:$F,Coefficients!$A:$A,$B16,Coefficients!$B:$B,"招架"),1)+SUMIFS(EquipPlans!$I:$I,EquipPlans!$A:$A,$C16,EquipPlans!$B:$B,"招架")+E16*2)</f>
      </c>
      <c r="O16">
        <f>IF($A16="","",SUMIFS(StandardParams!$C:$C,StandardParams!$B:$B,"偏斜")*IFERROR(SUMIFS(Coefficients!$C:$C,Coefficients!$A:$A,$B16,Coefficients!$B:$B,"偏斜"),1)+SUMIFS(StandardParams!$D:$D,StandardParams!$B:$B,"偏斜")*IFERROR(SUMIFS(Coefficients!$D:$D,Coefficients!$A:$A,$B16,Coefficients!$B:$B,"偏斜"),1)*SUMIFS(TestCases!$D:$D,TestCases!$A:$A,$A16)+SUMIFS(StandardParams!$F:$F,StandardParams!$B:$B,"偏斜")*IFERROR(SUMIFS(Coefficients!$F:$F,Coefficients!$A:$A,$B16,Coefficients!$B:$B,"偏斜"),1)+SUMIFS(EquipPlans!$I:$I,EquipPlans!$A:$A,$C16,EquipPlans!$B:$B,"偏斜")+H16*2)</f>
      </c>
      <c r="P16">
        <f>IF($A16="","",SUMIFS(StandardParams!$C:$C,StandardParams!$B:$B,"抵抗")*IFERROR(SUMIFS(Coefficients!$C:$C,Coefficients!$A:$A,$B16,Coefficients!$B:$B,"抵抗"),1)+SUMIFS(StandardParams!$D:$D,StandardParams!$B:$B,"抵抗")*IFERROR(SUMIFS(Coefficients!$D:$D,Coefficients!$A:$A,$B16,Coefficients!$B:$B,"抵抗"),1)*SUMIFS(TestCases!$D:$D,TestCases!$A:$A,$A16)+SUMIFS(StandardParams!$F:$F,StandardParams!$B:$B,"抵抗")*IFERROR(SUMIFS(Coefficients!$F:$F,Coefficients!$A:$A,$B16,Coefficients!$B:$B,"抵抗"),1)+SUMIFS(EquipPlans!$I:$I,EquipPlans!$A:$A,$C16,EquipPlans!$B:$B,"抵抗")+I16*2.5)</f>
      </c>
      <c r="Q16">
        <f>IF($A16="","",SUMIFS(StandardParams!$C:$C,StandardParams!$B:$B,"韧性")*IFERROR(SUMIFS(Coefficients!$C:$C,Coefficients!$A:$A,$B16,Coefficients!$B:$B,"韧性"),1)+SUMIFS(StandardParams!$D:$D,StandardParams!$B:$B,"韧性")*IFERROR(SUMIFS(Coefficients!$D:$D,Coefficients!$A:$A,$B16,Coefficients!$B:$B,"韧性"),1)*SUMIFS(TestCases!$D:$D,TestCases!$A:$A,$A16)+SUMIFS(StandardParams!$F:$F,StandardParams!$B:$B,"韧性")*IFERROR(SUMIFS(Coefficients!$F:$F,Coefficients!$A:$A,$B16,Coefficients!$B:$B,"韧性"),1)+SUMIFS(EquipPlans!$I:$I,EquipPlans!$A:$A,$C16,EquipPlans!$B:$B,"韧性")+F16)</f>
      </c>
      <c r="R16">
        <f>IF($A16="","",SUMIFS(StandardParams!$C:$C,StandardParams!$B:$B,"气血")*IFERROR(SUMIFS(Coefficients!$C:$C,Coefficients!$A:$A,$B16,Coefficients!$B:$B,"气血"),1)+SUMIFS(StandardParams!$D:$D,StandardParams!$B:$B,"气血")*IFERROR(SUMIFS(Coefficients!$D:$D,Coefficients!$A:$A,$B16,Coefficients!$B:$B,"气血"),1)*SUMIFS(TestCases!$D:$D,TestCases!$A:$A,$A16)+SUMIFS(StandardParams!$F:$F,StandardParams!$B:$B,"气血")*IFERROR(SUMIFS(Coefficients!$F:$F,Coefficients!$A:$A,$B16,Coefficients!$B:$B,"气血"),1)+SUMIFS(EquipPlans!$I:$I,EquipPlans!$A:$A,$C16,EquipPlans!$B:$B,"气血")+F16*20)</f>
      </c>
      <c r="S16">
        <f>IF($A16="","",SUMIFS(StandardParams!$C:$C,StandardParams!$B:$B,"内力")*IFERROR(SUMIFS(Coefficients!$C:$C,Coefficients!$A:$A,$B16,Coefficients!$B:$B,"内力"),1)+SUMIFS(StandardParams!$D:$D,StandardParams!$B:$B,"内力")*IFERROR(SUMIFS(Coefficients!$D:$D,Coefficients!$A:$A,$B16,Coefficients!$B:$B,"内力"),1)*SUMIFS(TestCases!$D:$D,TestCases!$A:$A,$A16)+SUMIFS(StandardParams!$F:$F,StandardParams!$B:$B,"内力")*IFERROR(SUMIFS(Coefficients!$F:$F,Coefficients!$A:$A,$B16,Coefficients!$B:$B,"内力"),1)+SUMIFS(EquipPlans!$I:$I,EquipPlans!$A:$A,$C16,EquipPlans!$B:$B,"内力")+G16*10)</f>
      </c>
      <c r="T16">
        <f>IF($A16="","",SUMIFS(StandardParams!$C:$C,StandardParams!$B:$B,"内力回复")*IFERROR(SUMIFS(Coefficients!$C:$C,Coefficients!$A:$A,$B16,Coefficients!$B:$B,"内力回复"),1)+SUMIFS(StandardParams!$D:$D,StandardParams!$B:$B,"内力回复")*IFERROR(SUMIFS(Coefficients!$D:$D,Coefficients!$A:$A,$B16,Coefficients!$B:$B,"内力回复"),1)*SUMIFS(TestCases!$D:$D,TestCases!$A:$A,$A16)+SUMIFS(StandardParams!$F:$F,StandardParams!$B:$B,"内力回复")*IFERROR(SUMIFS(Coefficients!$F:$F,Coefficients!$A:$A,$B16,Coefficients!$B:$B,"内力回复"),1)+SUMIFS(EquipPlans!$I:$I,EquipPlans!$A:$A,$C16,EquipPlans!$B:$B,"内力回复")+G16*0.5)</f>
      </c>
      <c r="U16">
        <f>IF($A16="","",SUMIFS(StandardParams!$C:$C,StandardParams!$B:$B,"气血恢复")*IFERROR(SUMIFS(Coefficients!$C:$C,Coefficients!$A:$A,$B16,Coefficients!$B:$B,"气血恢复"),1)+SUMIFS(StandardParams!$D:$D,StandardParams!$B:$B,"气血恢复")*IFERROR(SUMIFS(Coefficients!$D:$D,Coefficients!$A:$A,$B16,Coefficients!$B:$B,"气血恢复"),1)*SUMIFS(TestCases!$D:$D,TestCases!$A:$A,$A16)+SUMIFS(StandardParams!$F:$F,StandardParams!$B:$B,"气血恢复")*IFERROR(SUMIFS(Coefficients!$F:$F,Coefficients!$A:$A,$B16,Coefficients!$B:$B,"气血恢复"),1)+SUMIFS(EquipPlans!$I:$I,EquipPlans!$A:$A,$C16,EquipPlans!$B:$B,"气血恢复"))</f>
      </c>
      <c r="V16">
        <f>IF($A16="","",L16/(N16+L16+500))</f>
      </c>
      <c r="W16">
        <f>IF($A16="","",M16/(O16+M16+500))</f>
      </c>
      <c r="X16">
        <f>IF($A16="","",K16/(J16+K16))</f>
      </c>
    </row>
    <row r="17">
      <c r="A17">
        <f>IF(TestCases!A17="","",TestCases!A17)</f>
      </c>
      <c r="B17">
        <f>IF($A17="","",TestCases!B17)</f>
      </c>
      <c r="C17">
        <f>IF($A17="","",TestCases!C17)</f>
      </c>
      <c r="D17">
        <f>IF($A17="","",SUMIFS(StandardParams!$C:$C,StandardParams!$B:$B,"臂力")*IFERROR(SUMIFS(Coefficients!$C:$C,Coefficients!$A:$A,$B17,Coefficients!$B:$B,"臂力"),1)+SUMIFS(StandardParams!$D:$D,StandardParams!$B:$B,"臂力")*IFERROR(SUMIFS(Coefficients!$D:$D,Coefficients!$A:$A,$B17,Coefficients!$B:$B,"臂力"),1)*SUMIFS(TestCases!$D:$D,TestCases!$A:$A,$A17)*SUMIFS(StandardParams!$E:$E,StandardParams!$B:$B,"臂力")*IFERROR(SUMIFS(Coefficients!$E:$E,Coefficients!$A:$A,$B17,Coefficients!$B:$B,"臂力"),1)+SUMIFS(StandardParams!$F:$F,StandardParams!$B:$B,"臂力")*IFERROR(SUMIFS(Coefficients!$F:$F,Coefficients!$A:$A,$B17,Coefficients!$B:$B,"臂力"),1))</f>
      </c>
      <c r="E17">
        <f>IF($A17="","",SUMIFS(StandardParams!$C:$C,StandardParams!$B:$B,"技巧")*IFERROR(SUMIFS(Coefficients!$C:$C,Coefficients!$A:$A,$B17,Coefficients!$B:$B,"技巧"),1)+SUMIFS(StandardParams!$D:$D,StandardParams!$B:$B,"技巧")*IFERROR(SUMIFS(Coefficients!$D:$D,Coefficients!$A:$A,$B17,Coefficients!$B:$B,"技巧"),1)*SUMIFS(TestCases!$D:$D,TestCases!$A:$A,$A17)*SUMIFS(StandardParams!$E:$E,StandardParams!$B:$B,"技巧")*IFERROR(SUMIFS(Coefficients!$E:$E,Coefficients!$A:$A,$B17,Coefficients!$B:$B,"技巧"),1)+SUMIFS(StandardParams!$F:$F,StandardParams!$B:$B,"技巧")*IFERROR(SUMIFS(Coefficients!$F:$F,Coefficients!$A:$A,$B17,Coefficients!$B:$B,"技巧"),1))</f>
      </c>
      <c r="F17">
        <f>IF($A17="","",SUMIFS(StandardParams!$C:$C,StandardParams!$B:$B,"根骨")*IFERROR(SUMIFS(Coefficients!$C:$C,Coefficients!$A:$A,$B17,Coefficients!$B:$B,"根骨"),1)+SUMIFS(StandardParams!$D:$D,StandardParams!$B:$B,"根骨")*IFERROR(SUMIFS(Coefficients!$D:$D,Coefficients!$A:$A,$B17,Coefficients!$B:$B,"根骨"),1)*SUMIFS(TestCases!$D:$D,TestCases!$A:$A,$A17)*SUMIFS(StandardParams!$E:$E,StandardParams!$B:$B,"根骨")*IFERROR(SUMIFS(Coefficients!$E:$E,Coefficients!$A:$A,$B17,Coefficients!$B:$B,"根骨"),1)+SUMIFS(StandardParams!$F:$F,StandardParams!$B:$B,"根骨")*IFERROR(SUMIFS(Coefficients!$F:$F,Coefficients!$A:$A,$B17,Coefficients!$B:$B,"根骨"),1))</f>
      </c>
      <c r="G17">
        <f>IF($A17="","",SUMIFS(StandardParams!$C:$C,StandardParams!$B:$B,"内息")*IFERROR(SUMIFS(Coefficients!$C:$C,Coefficients!$A:$A,$B17,Coefficients!$B:$B,"内息"),1)+SUMIFS(StandardParams!$D:$D,StandardParams!$B:$B,"内息")*IFERROR(SUMIFS(Coefficients!$D:$D,Coefficients!$A:$A,$B17,Coefficients!$B:$B,"内息"),1)*SUMIFS(TestCases!$D:$D,TestCases!$A:$A,$A17)*SUMIFS(StandardParams!$E:$E,StandardParams!$B:$B,"内息")*IFERROR(SUMIFS(Coefficients!$E:$E,Coefficients!$A:$A,$B17,Coefficients!$B:$B,"内息"),1)+SUMIFS(StandardParams!$F:$F,StandardParams!$B:$B,"内息")*IFERROR(SUMIFS(Coefficients!$F:$F,Coefficients!$A:$A,$B17,Coefficients!$B:$B,"内息"),1))</f>
      </c>
      <c r="H17">
        <f>IF($A17="","",SUMIFS(StandardParams!$C:$C,StandardParams!$B:$B,"身法")*IFERROR(SUMIFS(Coefficients!$C:$C,Coefficients!$A:$A,$B17,Coefficients!$B:$B,"身法"),1)+SUMIFS(StandardParams!$D:$D,StandardParams!$B:$B,"身法")*IFERROR(SUMIFS(Coefficients!$D:$D,Coefficients!$A:$A,$B17,Coefficients!$B:$B,"身法"),1)*SUMIFS(TestCases!$D:$D,TestCases!$A:$A,$A17)*SUMIFS(StandardParams!$E:$E,StandardParams!$B:$B,"身法")*IFERROR(SUMIFS(Coefficients!$E:$E,Coefficients!$A:$A,$B17,Coefficients!$B:$B,"身法"),1)+SUMIFS(StandardParams!$F:$F,StandardParams!$B:$B,"身法")*IFERROR(SUMIFS(Coefficients!$F:$F,Coefficients!$A:$A,$B17,Coefficients!$B:$B,"身法"),1))</f>
      </c>
      <c r="I17">
        <f>IF($A17="","",SUMIFS(StandardParams!$C:$C,StandardParams!$B:$B,"定力")*IFERROR(SUMIFS(Coefficients!$C:$C,Coefficients!$A:$A,$B17,Coefficients!$B:$B,"定力"),1)+SUMIFS(StandardParams!$D:$D,StandardParams!$B:$B,"定力")*IFERROR(SUMIFS(Coefficients!$D:$D,Coefficients!$A:$A,$B17,Coefficients!$B:$B,"定力"),1)*SUMIFS(TestCases!$D:$D,TestCases!$A:$A,$A17)*SUMIFS(StandardParams!$E:$E,StandardParams!$B:$B,"定力")*IFERROR(SUMIFS(Coefficients!$E:$E,Coefficients!$A:$A,$B17,Coefficients!$B:$B,"定力"),1)+SUMIFS(StandardParams!$F:$F,StandardParams!$B:$B,"定力")*IFERROR(SUMIFS(Coefficients!$F:$F,Coefficients!$A:$A,$B17,Coefficients!$B:$B,"定力"),1))</f>
      </c>
      <c r="J17">
        <f>IF($A17="","",SUMIFS(StandardParams!$C:$C,StandardParams!$B:$B,"攻击")*IFERROR(SUMIFS(Coefficients!$C:$C,Coefficients!$A:$A,$B17,Coefficients!$B:$B,"攻击"),1)+SUMIFS(StandardParams!$D:$D,StandardParams!$B:$B,"攻击")*IFERROR(SUMIFS(Coefficients!$D:$D,Coefficients!$A:$A,$B17,Coefficients!$B:$B,"攻击"),1)*SUMIFS(TestCases!$D:$D,TestCases!$A:$A,$A17)+SUMIFS(StandardParams!$F:$F,StandardParams!$B:$B,"攻击")*IFERROR(SUMIFS(Coefficients!$F:$F,Coefficients!$A:$A,$B17,Coefficients!$B:$B,"攻击"),1)+SUMIFS(EquipPlans!$I:$I,EquipPlans!$A:$A,$C17,EquipPlans!$B:$B,"攻击")+D17*4)</f>
      </c>
      <c r="K17">
        <f>IF($A17="","",SUMIFS(StandardParams!$C:$C,StandardParams!$B:$B,"防御")*IFERROR(SUMIFS(Coefficients!$C:$C,Coefficients!$A:$A,$B17,Coefficients!$B:$B,"防御"),1)+SUMIFS(StandardParams!$D:$D,StandardParams!$B:$B,"防御")*IFERROR(SUMIFS(Coefficients!$D:$D,Coefficients!$A:$A,$B17,Coefficients!$B:$B,"防御"),1)*SUMIFS(TestCases!$D:$D,TestCases!$A:$A,$A17)+SUMIFS(StandardParams!$F:$F,StandardParams!$B:$B,"防御")*IFERROR(SUMIFS(Coefficients!$F:$F,Coefficients!$A:$A,$B17,Coefficients!$B:$B,"防御"),1)+SUMIFS(EquipPlans!$I:$I,EquipPlans!$A:$A,$C17,EquipPlans!$B:$B,"防御"))</f>
      </c>
      <c r="L17">
        <f>IF($A17="","",SUMIFS(StandardParams!$C:$C,StandardParams!$B:$B,"速度")*IFERROR(SUMIFS(Coefficients!$C:$C,Coefficients!$A:$A,$B17,Coefficients!$B:$B,"速度"),1)+SUMIFS(StandardParams!$D:$D,StandardParams!$B:$B,"速度")*IFERROR(SUMIFS(Coefficients!$D:$D,Coefficients!$A:$A,$B17,Coefficients!$B:$B,"速度"),1)*SUMIFS(TestCases!$D:$D,TestCases!$A:$A,$A17)+SUMIFS(StandardParams!$F:$F,StandardParams!$B:$B,"速度")*IFERROR(SUMIFS(Coefficients!$F:$F,Coefficients!$A:$A,$B17,Coefficients!$B:$B,"速度"),1)+SUMIFS(EquipPlans!$I:$I,EquipPlans!$A:$A,$C17,EquipPlans!$B:$B,"速度")+H17*2)</f>
      </c>
      <c r="M17">
        <f>IF($A17="","",SUMIFS(StandardParams!$C:$C,StandardParams!$B:$B,"命中")*IFERROR(SUMIFS(Coefficients!$C:$C,Coefficients!$A:$A,$B17,Coefficients!$B:$B,"命中"),1)+SUMIFS(StandardParams!$D:$D,StandardParams!$B:$B,"命中")*IFERROR(SUMIFS(Coefficients!$D:$D,Coefficients!$A:$A,$B17,Coefficients!$B:$B,"命中"),1)*SUMIFS(TestCases!$D:$D,TestCases!$A:$A,$A17)+SUMIFS(StandardParams!$F:$F,StandardParams!$B:$B,"命中")*IFERROR(SUMIFS(Coefficients!$F:$F,Coefficients!$A:$A,$B17,Coefficients!$B:$B,"命中"),1)+SUMIFS(EquipPlans!$I:$I,EquipPlans!$A:$A,$C17,EquipPlans!$B:$B,"命中")+E17*2)</f>
      </c>
      <c r="N17">
        <f>IF($A17="","",SUMIFS(StandardParams!$C:$C,StandardParams!$B:$B,"招架")*IFERROR(SUMIFS(Coefficients!$C:$C,Coefficients!$A:$A,$B17,Coefficients!$B:$B,"招架"),1)+SUMIFS(StandardParams!$D:$D,StandardParams!$B:$B,"招架")*IFERROR(SUMIFS(Coefficients!$D:$D,Coefficients!$A:$A,$B17,Coefficients!$B:$B,"招架"),1)*SUMIFS(TestCases!$D:$D,TestCases!$A:$A,$A17)+SUMIFS(StandardParams!$F:$F,StandardParams!$B:$B,"招架")*IFERROR(SUMIFS(Coefficients!$F:$F,Coefficients!$A:$A,$B17,Coefficients!$B:$B,"招架"),1)+SUMIFS(EquipPlans!$I:$I,EquipPlans!$A:$A,$C17,EquipPlans!$B:$B,"招架")+E17*2)</f>
      </c>
      <c r="O17">
        <f>IF($A17="","",SUMIFS(StandardParams!$C:$C,StandardParams!$B:$B,"偏斜")*IFERROR(SUMIFS(Coefficients!$C:$C,Coefficients!$A:$A,$B17,Coefficients!$B:$B,"偏斜"),1)+SUMIFS(StandardParams!$D:$D,StandardParams!$B:$B,"偏斜")*IFERROR(SUMIFS(Coefficients!$D:$D,Coefficients!$A:$A,$B17,Coefficients!$B:$B,"偏斜"),1)*SUMIFS(TestCases!$D:$D,TestCases!$A:$A,$A17)+SUMIFS(StandardParams!$F:$F,StandardParams!$B:$B,"偏斜")*IFERROR(SUMIFS(Coefficients!$F:$F,Coefficients!$A:$A,$B17,Coefficients!$B:$B,"偏斜"),1)+SUMIFS(EquipPlans!$I:$I,EquipPlans!$A:$A,$C17,EquipPlans!$B:$B,"偏斜")+H17*2)</f>
      </c>
      <c r="P17">
        <f>IF($A17="","",SUMIFS(StandardParams!$C:$C,StandardParams!$B:$B,"抵抗")*IFERROR(SUMIFS(Coefficients!$C:$C,Coefficients!$A:$A,$B17,Coefficients!$B:$B,"抵抗"),1)+SUMIFS(StandardParams!$D:$D,StandardParams!$B:$B,"抵抗")*IFERROR(SUMIFS(Coefficients!$D:$D,Coefficients!$A:$A,$B17,Coefficients!$B:$B,"抵抗"),1)*SUMIFS(TestCases!$D:$D,TestCases!$A:$A,$A17)+SUMIFS(StandardParams!$F:$F,StandardParams!$B:$B,"抵抗")*IFERROR(SUMIFS(Coefficients!$F:$F,Coefficients!$A:$A,$B17,Coefficients!$B:$B,"抵抗"),1)+SUMIFS(EquipPlans!$I:$I,EquipPlans!$A:$A,$C17,EquipPlans!$B:$B,"抵抗")+I17*2.5)</f>
      </c>
      <c r="Q17">
        <f>IF($A17="","",SUMIFS(StandardParams!$C:$C,StandardParams!$B:$B,"韧性")*IFERROR(SUMIFS(Coefficients!$C:$C,Coefficients!$A:$A,$B17,Coefficients!$B:$B,"韧性"),1)+SUMIFS(StandardParams!$D:$D,StandardParams!$B:$B,"韧性")*IFERROR(SUMIFS(Coefficients!$D:$D,Coefficients!$A:$A,$B17,Coefficients!$B:$B,"韧性"),1)*SUMIFS(TestCases!$D:$D,TestCases!$A:$A,$A17)+SUMIFS(StandardParams!$F:$F,StandardParams!$B:$B,"韧性")*IFERROR(SUMIFS(Coefficients!$F:$F,Coefficients!$A:$A,$B17,Coefficients!$B:$B,"韧性"),1)+SUMIFS(EquipPlans!$I:$I,EquipPlans!$A:$A,$C17,EquipPlans!$B:$B,"韧性")+F17)</f>
      </c>
      <c r="R17">
        <f>IF($A17="","",SUMIFS(StandardParams!$C:$C,StandardParams!$B:$B,"气血")*IFERROR(SUMIFS(Coefficients!$C:$C,Coefficients!$A:$A,$B17,Coefficients!$B:$B,"气血"),1)+SUMIFS(StandardParams!$D:$D,StandardParams!$B:$B,"气血")*IFERROR(SUMIFS(Coefficients!$D:$D,Coefficients!$A:$A,$B17,Coefficients!$B:$B,"气血"),1)*SUMIFS(TestCases!$D:$D,TestCases!$A:$A,$A17)+SUMIFS(StandardParams!$F:$F,StandardParams!$B:$B,"气血")*IFERROR(SUMIFS(Coefficients!$F:$F,Coefficients!$A:$A,$B17,Coefficients!$B:$B,"气血"),1)+SUMIFS(EquipPlans!$I:$I,EquipPlans!$A:$A,$C17,EquipPlans!$B:$B,"气血")+F17*20)</f>
      </c>
      <c r="S17">
        <f>IF($A17="","",SUMIFS(StandardParams!$C:$C,StandardParams!$B:$B,"内力")*IFERROR(SUMIFS(Coefficients!$C:$C,Coefficients!$A:$A,$B17,Coefficients!$B:$B,"内力"),1)+SUMIFS(StandardParams!$D:$D,StandardParams!$B:$B,"内力")*IFERROR(SUMIFS(Coefficients!$D:$D,Coefficients!$A:$A,$B17,Coefficients!$B:$B,"内力"),1)*SUMIFS(TestCases!$D:$D,TestCases!$A:$A,$A17)+SUMIFS(StandardParams!$F:$F,StandardParams!$B:$B,"内力")*IFERROR(SUMIFS(Coefficients!$F:$F,Coefficients!$A:$A,$B17,Coefficients!$B:$B,"内力"),1)+SUMIFS(EquipPlans!$I:$I,EquipPlans!$A:$A,$C17,EquipPlans!$B:$B,"内力")+G17*10)</f>
      </c>
      <c r="T17">
        <f>IF($A17="","",SUMIFS(StandardParams!$C:$C,StandardParams!$B:$B,"内力回复")*IFERROR(SUMIFS(Coefficients!$C:$C,Coefficients!$A:$A,$B17,Coefficients!$B:$B,"内力回复"),1)+SUMIFS(StandardParams!$D:$D,StandardParams!$B:$B,"内力回复")*IFERROR(SUMIFS(Coefficients!$D:$D,Coefficients!$A:$A,$B17,Coefficients!$B:$B,"内力回复"),1)*SUMIFS(TestCases!$D:$D,TestCases!$A:$A,$A17)+SUMIFS(StandardParams!$F:$F,StandardParams!$B:$B,"内力回复")*IFERROR(SUMIFS(Coefficients!$F:$F,Coefficients!$A:$A,$B17,Coefficients!$B:$B,"内力回复"),1)+SUMIFS(EquipPlans!$I:$I,EquipPlans!$A:$A,$C17,EquipPlans!$B:$B,"内力回复")+G17*0.5)</f>
      </c>
      <c r="U17">
        <f>IF($A17="","",SUMIFS(StandardParams!$C:$C,StandardParams!$B:$B,"气血恢复")*IFERROR(SUMIFS(Coefficients!$C:$C,Coefficients!$A:$A,$B17,Coefficients!$B:$B,"气血恢复"),1)+SUMIFS(StandardParams!$D:$D,StandardParams!$B:$B,"气血恢复")*IFERROR(SUMIFS(Coefficients!$D:$D,Coefficients!$A:$A,$B17,Coefficients!$B:$B,"气血恢复"),1)*SUMIFS(TestCases!$D:$D,TestCases!$A:$A,$A17)+SUMIFS(StandardParams!$F:$F,StandardParams!$B:$B,"气血恢复")*IFERROR(SUMIFS(Coefficients!$F:$F,Coefficients!$A:$A,$B17,Coefficients!$B:$B,"气血恢复"),1)+SUMIFS(EquipPlans!$I:$I,EquipPlans!$A:$A,$C17,EquipPlans!$B:$B,"气血恢复"))</f>
      </c>
      <c r="V17">
        <f>IF($A17="","",L17/(N17+L17+500))</f>
      </c>
      <c r="W17">
        <f>IF($A17="","",M17/(O17+M17+500))</f>
      </c>
      <c r="X17">
        <f>IF($A17="","",K17/(J17+K17))</f>
      </c>
    </row>
    <row r="18">
      <c r="A18">
        <f>IF(TestCases!A18="","",TestCases!A18)</f>
      </c>
      <c r="B18">
        <f>IF($A18="","",TestCases!B18)</f>
      </c>
      <c r="C18">
        <f>IF($A18="","",TestCases!C18)</f>
      </c>
      <c r="D18">
        <f>IF($A18="","",SUMIFS(StandardParams!$C:$C,StandardParams!$B:$B,"臂力")*IFERROR(SUMIFS(Coefficients!$C:$C,Coefficients!$A:$A,$B18,Coefficients!$B:$B,"臂力"),1)+SUMIFS(StandardParams!$D:$D,StandardParams!$B:$B,"臂力")*IFERROR(SUMIFS(Coefficients!$D:$D,Coefficients!$A:$A,$B18,Coefficients!$B:$B,"臂力"),1)*SUMIFS(TestCases!$D:$D,TestCases!$A:$A,$A18)*SUMIFS(StandardParams!$E:$E,StandardParams!$B:$B,"臂力")*IFERROR(SUMIFS(Coefficients!$E:$E,Coefficients!$A:$A,$B18,Coefficients!$B:$B,"臂力"),1)+SUMIFS(StandardParams!$F:$F,StandardParams!$B:$B,"臂力")*IFERROR(SUMIFS(Coefficients!$F:$F,Coefficients!$A:$A,$B18,Coefficients!$B:$B,"臂力"),1))</f>
      </c>
      <c r="E18">
        <f>IF($A18="","",SUMIFS(StandardParams!$C:$C,StandardParams!$B:$B,"技巧")*IFERROR(SUMIFS(Coefficients!$C:$C,Coefficients!$A:$A,$B18,Coefficients!$B:$B,"技巧"),1)+SUMIFS(StandardParams!$D:$D,StandardParams!$B:$B,"技巧")*IFERROR(SUMIFS(Coefficients!$D:$D,Coefficients!$A:$A,$B18,Coefficients!$B:$B,"技巧"),1)*SUMIFS(TestCases!$D:$D,TestCases!$A:$A,$A18)*SUMIFS(StandardParams!$E:$E,StandardParams!$B:$B,"技巧")*IFERROR(SUMIFS(Coefficients!$E:$E,Coefficients!$A:$A,$B18,Coefficients!$B:$B,"技巧"),1)+SUMIFS(StandardParams!$F:$F,StandardParams!$B:$B,"技巧")*IFERROR(SUMIFS(Coefficients!$F:$F,Coefficients!$A:$A,$B18,Coefficients!$B:$B,"技巧"),1))</f>
      </c>
      <c r="F18">
        <f>IF($A18="","",SUMIFS(StandardParams!$C:$C,StandardParams!$B:$B,"根骨")*IFERROR(SUMIFS(Coefficients!$C:$C,Coefficients!$A:$A,$B18,Coefficients!$B:$B,"根骨"),1)+SUMIFS(StandardParams!$D:$D,StandardParams!$B:$B,"根骨")*IFERROR(SUMIFS(Coefficients!$D:$D,Coefficients!$A:$A,$B18,Coefficients!$B:$B,"根骨"),1)*SUMIFS(TestCases!$D:$D,TestCases!$A:$A,$A18)*SUMIFS(StandardParams!$E:$E,StandardParams!$B:$B,"根骨")*IFERROR(SUMIFS(Coefficients!$E:$E,Coefficients!$A:$A,$B18,Coefficients!$B:$B,"根骨"),1)+SUMIFS(StandardParams!$F:$F,StandardParams!$B:$B,"根骨")*IFERROR(SUMIFS(Coefficients!$F:$F,Coefficients!$A:$A,$B18,Coefficients!$B:$B,"根骨"),1))</f>
      </c>
      <c r="G18">
        <f>IF($A18="","",SUMIFS(StandardParams!$C:$C,StandardParams!$B:$B,"内息")*IFERROR(SUMIFS(Coefficients!$C:$C,Coefficients!$A:$A,$B18,Coefficients!$B:$B,"内息"),1)+SUMIFS(StandardParams!$D:$D,StandardParams!$B:$B,"内息")*IFERROR(SUMIFS(Coefficients!$D:$D,Coefficients!$A:$A,$B18,Coefficients!$B:$B,"内息"),1)*SUMIFS(TestCases!$D:$D,TestCases!$A:$A,$A18)*SUMIFS(StandardParams!$E:$E,StandardParams!$B:$B,"内息")*IFERROR(SUMIFS(Coefficients!$E:$E,Coefficients!$A:$A,$B18,Coefficients!$B:$B,"内息"),1)+SUMIFS(StandardParams!$F:$F,StandardParams!$B:$B,"内息")*IFERROR(SUMIFS(Coefficients!$F:$F,Coefficients!$A:$A,$B18,Coefficients!$B:$B,"内息"),1))</f>
      </c>
      <c r="H18">
        <f>IF($A18="","",SUMIFS(StandardParams!$C:$C,StandardParams!$B:$B,"身法")*IFERROR(SUMIFS(Coefficients!$C:$C,Coefficients!$A:$A,$B18,Coefficients!$B:$B,"身法"),1)+SUMIFS(StandardParams!$D:$D,StandardParams!$B:$B,"身法")*IFERROR(SUMIFS(Coefficients!$D:$D,Coefficients!$A:$A,$B18,Coefficients!$B:$B,"身法"),1)*SUMIFS(TestCases!$D:$D,TestCases!$A:$A,$A18)*SUMIFS(StandardParams!$E:$E,StandardParams!$B:$B,"身法")*IFERROR(SUMIFS(Coefficients!$E:$E,Coefficients!$A:$A,$B18,Coefficients!$B:$B,"身法"),1)+SUMIFS(StandardParams!$F:$F,StandardParams!$B:$B,"身法")*IFERROR(SUMIFS(Coefficients!$F:$F,Coefficients!$A:$A,$B18,Coefficients!$B:$B,"身法"),1))</f>
      </c>
      <c r="I18">
        <f>IF($A18="","",SUMIFS(StandardParams!$C:$C,StandardParams!$B:$B,"定力")*IFERROR(SUMIFS(Coefficients!$C:$C,Coefficients!$A:$A,$B18,Coefficients!$B:$B,"定力"),1)+SUMIFS(StandardParams!$D:$D,StandardParams!$B:$B,"定力")*IFERROR(SUMIFS(Coefficients!$D:$D,Coefficients!$A:$A,$B18,Coefficients!$B:$B,"定力"),1)*SUMIFS(TestCases!$D:$D,TestCases!$A:$A,$A18)*SUMIFS(StandardParams!$E:$E,StandardParams!$B:$B,"定力")*IFERROR(SUMIFS(Coefficients!$E:$E,Coefficients!$A:$A,$B18,Coefficients!$B:$B,"定力"),1)+SUMIFS(StandardParams!$F:$F,StandardParams!$B:$B,"定力")*IFERROR(SUMIFS(Coefficients!$F:$F,Coefficients!$A:$A,$B18,Coefficients!$B:$B,"定力"),1))</f>
      </c>
      <c r="J18">
        <f>IF($A18="","",SUMIFS(StandardParams!$C:$C,StandardParams!$B:$B,"攻击")*IFERROR(SUMIFS(Coefficients!$C:$C,Coefficients!$A:$A,$B18,Coefficients!$B:$B,"攻击"),1)+SUMIFS(StandardParams!$D:$D,StandardParams!$B:$B,"攻击")*IFERROR(SUMIFS(Coefficients!$D:$D,Coefficients!$A:$A,$B18,Coefficients!$B:$B,"攻击"),1)*SUMIFS(TestCases!$D:$D,TestCases!$A:$A,$A18)+SUMIFS(StandardParams!$F:$F,StandardParams!$B:$B,"攻击")*IFERROR(SUMIFS(Coefficients!$F:$F,Coefficients!$A:$A,$B18,Coefficients!$B:$B,"攻击"),1)+SUMIFS(EquipPlans!$I:$I,EquipPlans!$A:$A,$C18,EquipPlans!$B:$B,"攻击")+D18*4)</f>
      </c>
      <c r="K18">
        <f>IF($A18="","",SUMIFS(StandardParams!$C:$C,StandardParams!$B:$B,"防御")*IFERROR(SUMIFS(Coefficients!$C:$C,Coefficients!$A:$A,$B18,Coefficients!$B:$B,"防御"),1)+SUMIFS(StandardParams!$D:$D,StandardParams!$B:$B,"防御")*IFERROR(SUMIFS(Coefficients!$D:$D,Coefficients!$A:$A,$B18,Coefficients!$B:$B,"防御"),1)*SUMIFS(TestCases!$D:$D,TestCases!$A:$A,$A18)+SUMIFS(StandardParams!$F:$F,StandardParams!$B:$B,"防御")*IFERROR(SUMIFS(Coefficients!$F:$F,Coefficients!$A:$A,$B18,Coefficients!$B:$B,"防御"),1)+SUMIFS(EquipPlans!$I:$I,EquipPlans!$A:$A,$C18,EquipPlans!$B:$B,"防御"))</f>
      </c>
      <c r="L18">
        <f>IF($A18="","",SUMIFS(StandardParams!$C:$C,StandardParams!$B:$B,"速度")*IFERROR(SUMIFS(Coefficients!$C:$C,Coefficients!$A:$A,$B18,Coefficients!$B:$B,"速度"),1)+SUMIFS(StandardParams!$D:$D,StandardParams!$B:$B,"速度")*IFERROR(SUMIFS(Coefficients!$D:$D,Coefficients!$A:$A,$B18,Coefficients!$B:$B,"速度"),1)*SUMIFS(TestCases!$D:$D,TestCases!$A:$A,$A18)+SUMIFS(StandardParams!$F:$F,StandardParams!$B:$B,"速度")*IFERROR(SUMIFS(Coefficients!$F:$F,Coefficients!$A:$A,$B18,Coefficients!$B:$B,"速度"),1)+SUMIFS(EquipPlans!$I:$I,EquipPlans!$A:$A,$C18,EquipPlans!$B:$B,"速度")+H18*2)</f>
      </c>
      <c r="M18">
        <f>IF($A18="","",SUMIFS(StandardParams!$C:$C,StandardParams!$B:$B,"命中")*IFERROR(SUMIFS(Coefficients!$C:$C,Coefficients!$A:$A,$B18,Coefficients!$B:$B,"命中"),1)+SUMIFS(StandardParams!$D:$D,StandardParams!$B:$B,"命中")*IFERROR(SUMIFS(Coefficients!$D:$D,Coefficients!$A:$A,$B18,Coefficients!$B:$B,"命中"),1)*SUMIFS(TestCases!$D:$D,TestCases!$A:$A,$A18)+SUMIFS(StandardParams!$F:$F,StandardParams!$B:$B,"命中")*IFERROR(SUMIFS(Coefficients!$F:$F,Coefficients!$A:$A,$B18,Coefficients!$B:$B,"命中"),1)+SUMIFS(EquipPlans!$I:$I,EquipPlans!$A:$A,$C18,EquipPlans!$B:$B,"命中")+E18*2)</f>
      </c>
      <c r="N18">
        <f>IF($A18="","",SUMIFS(StandardParams!$C:$C,StandardParams!$B:$B,"招架")*IFERROR(SUMIFS(Coefficients!$C:$C,Coefficients!$A:$A,$B18,Coefficients!$B:$B,"招架"),1)+SUMIFS(StandardParams!$D:$D,StandardParams!$B:$B,"招架")*IFERROR(SUMIFS(Coefficients!$D:$D,Coefficients!$A:$A,$B18,Coefficients!$B:$B,"招架"),1)*SUMIFS(TestCases!$D:$D,TestCases!$A:$A,$A18)+SUMIFS(StandardParams!$F:$F,StandardParams!$B:$B,"招架")*IFERROR(SUMIFS(Coefficients!$F:$F,Coefficients!$A:$A,$B18,Coefficients!$B:$B,"招架"),1)+SUMIFS(EquipPlans!$I:$I,EquipPlans!$A:$A,$C18,EquipPlans!$B:$B,"招架")+E18*2)</f>
      </c>
      <c r="O18">
        <f>IF($A18="","",SUMIFS(StandardParams!$C:$C,StandardParams!$B:$B,"偏斜")*IFERROR(SUMIFS(Coefficients!$C:$C,Coefficients!$A:$A,$B18,Coefficients!$B:$B,"偏斜"),1)+SUMIFS(StandardParams!$D:$D,StandardParams!$B:$B,"偏斜")*IFERROR(SUMIFS(Coefficients!$D:$D,Coefficients!$A:$A,$B18,Coefficients!$B:$B,"偏斜"),1)*SUMIFS(TestCases!$D:$D,TestCases!$A:$A,$A18)+SUMIFS(StandardParams!$F:$F,StandardParams!$B:$B,"偏斜")*IFERROR(SUMIFS(Coefficients!$F:$F,Coefficients!$A:$A,$B18,Coefficients!$B:$B,"偏斜"),1)+SUMIFS(EquipPlans!$I:$I,EquipPlans!$A:$A,$C18,EquipPlans!$B:$B,"偏斜")+H18*2)</f>
      </c>
      <c r="P18">
        <f>IF($A18="","",SUMIFS(StandardParams!$C:$C,StandardParams!$B:$B,"抵抗")*IFERROR(SUMIFS(Coefficients!$C:$C,Coefficients!$A:$A,$B18,Coefficients!$B:$B,"抵抗"),1)+SUMIFS(StandardParams!$D:$D,StandardParams!$B:$B,"抵抗")*IFERROR(SUMIFS(Coefficients!$D:$D,Coefficients!$A:$A,$B18,Coefficients!$B:$B,"抵抗"),1)*SUMIFS(TestCases!$D:$D,TestCases!$A:$A,$A18)+SUMIFS(StandardParams!$F:$F,StandardParams!$B:$B,"抵抗")*IFERROR(SUMIFS(Coefficients!$F:$F,Coefficients!$A:$A,$B18,Coefficients!$B:$B,"抵抗"),1)+SUMIFS(EquipPlans!$I:$I,EquipPlans!$A:$A,$C18,EquipPlans!$B:$B,"抵抗")+I18*2.5)</f>
      </c>
      <c r="Q18">
        <f>IF($A18="","",SUMIFS(StandardParams!$C:$C,StandardParams!$B:$B,"韧性")*IFERROR(SUMIFS(Coefficients!$C:$C,Coefficients!$A:$A,$B18,Coefficients!$B:$B,"韧性"),1)+SUMIFS(StandardParams!$D:$D,StandardParams!$B:$B,"韧性")*IFERROR(SUMIFS(Coefficients!$D:$D,Coefficients!$A:$A,$B18,Coefficients!$B:$B,"韧性"),1)*SUMIFS(TestCases!$D:$D,TestCases!$A:$A,$A18)+SUMIFS(StandardParams!$F:$F,StandardParams!$B:$B,"韧性")*IFERROR(SUMIFS(Coefficients!$F:$F,Coefficients!$A:$A,$B18,Coefficients!$B:$B,"韧性"),1)+SUMIFS(EquipPlans!$I:$I,EquipPlans!$A:$A,$C18,EquipPlans!$B:$B,"韧性")+F18)</f>
      </c>
      <c r="R18">
        <f>IF($A18="","",SUMIFS(StandardParams!$C:$C,StandardParams!$B:$B,"气血")*IFERROR(SUMIFS(Coefficients!$C:$C,Coefficients!$A:$A,$B18,Coefficients!$B:$B,"气血"),1)+SUMIFS(StandardParams!$D:$D,StandardParams!$B:$B,"气血")*IFERROR(SUMIFS(Coefficients!$D:$D,Coefficients!$A:$A,$B18,Coefficients!$B:$B,"气血"),1)*SUMIFS(TestCases!$D:$D,TestCases!$A:$A,$A18)+SUMIFS(StandardParams!$F:$F,StandardParams!$B:$B,"气血")*IFERROR(SUMIFS(Coefficients!$F:$F,Coefficients!$A:$A,$B18,Coefficients!$B:$B,"气血"),1)+SUMIFS(EquipPlans!$I:$I,EquipPlans!$A:$A,$C18,EquipPlans!$B:$B,"气血")+F18*20)</f>
      </c>
      <c r="S18">
        <f>IF($A18="","",SUMIFS(StandardParams!$C:$C,StandardParams!$B:$B,"内力")*IFERROR(SUMIFS(Coefficients!$C:$C,Coefficients!$A:$A,$B18,Coefficients!$B:$B,"内力"),1)+SUMIFS(StandardParams!$D:$D,StandardParams!$B:$B,"内力")*IFERROR(SUMIFS(Coefficients!$D:$D,Coefficients!$A:$A,$B18,Coefficients!$B:$B,"内力"),1)*SUMIFS(TestCases!$D:$D,TestCases!$A:$A,$A18)+SUMIFS(StandardParams!$F:$F,StandardParams!$B:$B,"内力")*IFERROR(SUMIFS(Coefficients!$F:$F,Coefficients!$A:$A,$B18,Coefficients!$B:$B,"内力"),1)+SUMIFS(EquipPlans!$I:$I,EquipPlans!$A:$A,$C18,EquipPlans!$B:$B,"内力")+G18*10)</f>
      </c>
      <c r="T18">
        <f>IF($A18="","",SUMIFS(StandardParams!$C:$C,StandardParams!$B:$B,"内力回复")*IFERROR(SUMIFS(Coefficients!$C:$C,Coefficients!$A:$A,$B18,Coefficients!$B:$B,"内力回复"),1)+SUMIFS(StandardParams!$D:$D,StandardParams!$B:$B,"内力回复")*IFERROR(SUMIFS(Coefficients!$D:$D,Coefficients!$A:$A,$B18,Coefficients!$B:$B,"内力回复"),1)*SUMIFS(TestCases!$D:$D,TestCases!$A:$A,$A18)+SUMIFS(StandardParams!$F:$F,StandardParams!$B:$B,"内力回复")*IFERROR(SUMIFS(Coefficients!$F:$F,Coefficients!$A:$A,$B18,Coefficients!$B:$B,"内力回复"),1)+SUMIFS(EquipPlans!$I:$I,EquipPlans!$A:$A,$C18,EquipPlans!$B:$B,"内力回复")+G18*0.5)</f>
      </c>
      <c r="U18">
        <f>IF($A18="","",SUMIFS(StandardParams!$C:$C,StandardParams!$B:$B,"气血恢复")*IFERROR(SUMIFS(Coefficients!$C:$C,Coefficients!$A:$A,$B18,Coefficients!$B:$B,"气血恢复"),1)+SUMIFS(StandardParams!$D:$D,StandardParams!$B:$B,"气血恢复")*IFERROR(SUMIFS(Coefficients!$D:$D,Coefficients!$A:$A,$B18,Coefficients!$B:$B,"气血恢复"),1)*SUMIFS(TestCases!$D:$D,TestCases!$A:$A,$A18)+SUMIFS(StandardParams!$F:$F,StandardParams!$B:$B,"气血恢复")*IFERROR(SUMIFS(Coefficients!$F:$F,Coefficients!$A:$A,$B18,Coefficients!$B:$B,"气血恢复"),1)+SUMIFS(EquipPlans!$I:$I,EquipPlans!$A:$A,$C18,EquipPlans!$B:$B,"气血恢复"))</f>
      </c>
      <c r="V18">
        <f>IF($A18="","",L18/(N18+L18+500))</f>
      </c>
      <c r="W18">
        <f>IF($A18="","",M18/(O18+M18+500))</f>
      </c>
      <c r="X18">
        <f>IF($A18="","",K18/(J18+K18))</f>
      </c>
    </row>
    <row r="19">
      <c r="A19">
        <f>IF(TestCases!A19="","",TestCases!A19)</f>
      </c>
      <c r="B19">
        <f>IF($A19="","",TestCases!B19)</f>
      </c>
      <c r="C19">
        <f>IF($A19="","",TestCases!C19)</f>
      </c>
      <c r="D19">
        <f>IF($A19="","",SUMIFS(StandardParams!$C:$C,StandardParams!$B:$B,"臂力")*IFERROR(SUMIFS(Coefficients!$C:$C,Coefficients!$A:$A,$B19,Coefficients!$B:$B,"臂力"),1)+SUMIFS(StandardParams!$D:$D,StandardParams!$B:$B,"臂力")*IFERROR(SUMIFS(Coefficients!$D:$D,Coefficients!$A:$A,$B19,Coefficients!$B:$B,"臂力"),1)*SUMIFS(TestCases!$D:$D,TestCases!$A:$A,$A19)*SUMIFS(StandardParams!$E:$E,StandardParams!$B:$B,"臂力")*IFERROR(SUMIFS(Coefficients!$E:$E,Coefficients!$A:$A,$B19,Coefficients!$B:$B,"臂力"),1)+SUMIFS(StandardParams!$F:$F,StandardParams!$B:$B,"臂力")*IFERROR(SUMIFS(Coefficients!$F:$F,Coefficients!$A:$A,$B19,Coefficients!$B:$B,"臂力"),1))</f>
      </c>
      <c r="E19">
        <f>IF($A19="","",SUMIFS(StandardParams!$C:$C,StandardParams!$B:$B,"技巧")*IFERROR(SUMIFS(Coefficients!$C:$C,Coefficients!$A:$A,$B19,Coefficients!$B:$B,"技巧"),1)+SUMIFS(StandardParams!$D:$D,StandardParams!$B:$B,"技巧")*IFERROR(SUMIFS(Coefficients!$D:$D,Coefficients!$A:$A,$B19,Coefficients!$B:$B,"技巧"),1)*SUMIFS(TestCases!$D:$D,TestCases!$A:$A,$A19)*SUMIFS(StandardParams!$E:$E,StandardParams!$B:$B,"技巧")*IFERROR(SUMIFS(Coefficients!$E:$E,Coefficients!$A:$A,$B19,Coefficients!$B:$B,"技巧"),1)+SUMIFS(StandardParams!$F:$F,StandardParams!$B:$B,"技巧")*IFERROR(SUMIFS(Coefficients!$F:$F,Coefficients!$A:$A,$B19,Coefficients!$B:$B,"技巧"),1))</f>
      </c>
      <c r="F19">
        <f>IF($A19="","",SUMIFS(StandardParams!$C:$C,StandardParams!$B:$B,"根骨")*IFERROR(SUMIFS(Coefficients!$C:$C,Coefficients!$A:$A,$B19,Coefficients!$B:$B,"根骨"),1)+SUMIFS(StandardParams!$D:$D,StandardParams!$B:$B,"根骨")*IFERROR(SUMIFS(Coefficients!$D:$D,Coefficients!$A:$A,$B19,Coefficients!$B:$B,"根骨"),1)*SUMIFS(TestCases!$D:$D,TestCases!$A:$A,$A19)*SUMIFS(StandardParams!$E:$E,StandardParams!$B:$B,"根骨")*IFERROR(SUMIFS(Coefficients!$E:$E,Coefficients!$A:$A,$B19,Coefficients!$B:$B,"根骨"),1)+SUMIFS(StandardParams!$F:$F,StandardParams!$B:$B,"根骨")*IFERROR(SUMIFS(Coefficients!$F:$F,Coefficients!$A:$A,$B19,Coefficients!$B:$B,"根骨"),1))</f>
      </c>
      <c r="G19">
        <f>IF($A19="","",SUMIFS(StandardParams!$C:$C,StandardParams!$B:$B,"内息")*IFERROR(SUMIFS(Coefficients!$C:$C,Coefficients!$A:$A,$B19,Coefficients!$B:$B,"内息"),1)+SUMIFS(StandardParams!$D:$D,StandardParams!$B:$B,"内息")*IFERROR(SUMIFS(Coefficients!$D:$D,Coefficients!$A:$A,$B19,Coefficients!$B:$B,"内息"),1)*SUMIFS(TestCases!$D:$D,TestCases!$A:$A,$A19)*SUMIFS(StandardParams!$E:$E,StandardParams!$B:$B,"内息")*IFERROR(SUMIFS(Coefficients!$E:$E,Coefficients!$A:$A,$B19,Coefficients!$B:$B,"内息"),1)+SUMIFS(StandardParams!$F:$F,StandardParams!$B:$B,"内息")*IFERROR(SUMIFS(Coefficients!$F:$F,Coefficients!$A:$A,$B19,Coefficients!$B:$B,"内息"),1))</f>
      </c>
      <c r="H19">
        <f>IF($A19="","",SUMIFS(StandardParams!$C:$C,StandardParams!$B:$B,"身法")*IFERROR(SUMIFS(Coefficients!$C:$C,Coefficients!$A:$A,$B19,Coefficients!$B:$B,"身法"),1)+SUMIFS(StandardParams!$D:$D,StandardParams!$B:$B,"身法")*IFERROR(SUMIFS(Coefficients!$D:$D,Coefficients!$A:$A,$B19,Coefficients!$B:$B,"身法"),1)*SUMIFS(TestCases!$D:$D,TestCases!$A:$A,$A19)*SUMIFS(StandardParams!$E:$E,StandardParams!$B:$B,"身法")*IFERROR(SUMIFS(Coefficients!$E:$E,Coefficients!$A:$A,$B19,Coefficients!$B:$B,"身法"),1)+SUMIFS(StandardParams!$F:$F,StandardParams!$B:$B,"身法")*IFERROR(SUMIFS(Coefficients!$F:$F,Coefficients!$A:$A,$B19,Coefficients!$B:$B,"身法"),1))</f>
      </c>
      <c r="I19">
        <f>IF($A19="","",SUMIFS(StandardParams!$C:$C,StandardParams!$B:$B,"定力")*IFERROR(SUMIFS(Coefficients!$C:$C,Coefficients!$A:$A,$B19,Coefficients!$B:$B,"定力"),1)+SUMIFS(StandardParams!$D:$D,StandardParams!$B:$B,"定力")*IFERROR(SUMIFS(Coefficients!$D:$D,Coefficients!$A:$A,$B19,Coefficients!$B:$B,"定力"),1)*SUMIFS(TestCases!$D:$D,TestCases!$A:$A,$A19)*SUMIFS(StandardParams!$E:$E,StandardParams!$B:$B,"定力")*IFERROR(SUMIFS(Coefficients!$E:$E,Coefficients!$A:$A,$B19,Coefficients!$B:$B,"定力"),1)+SUMIFS(StandardParams!$F:$F,StandardParams!$B:$B,"定力")*IFERROR(SUMIFS(Coefficients!$F:$F,Coefficients!$A:$A,$B19,Coefficients!$B:$B,"定力"),1))</f>
      </c>
      <c r="J19">
        <f>IF($A19="","",SUMIFS(StandardParams!$C:$C,StandardParams!$B:$B,"攻击")*IFERROR(SUMIFS(Coefficients!$C:$C,Coefficients!$A:$A,$B19,Coefficients!$B:$B,"攻击"),1)+SUMIFS(StandardParams!$D:$D,StandardParams!$B:$B,"攻击")*IFERROR(SUMIFS(Coefficients!$D:$D,Coefficients!$A:$A,$B19,Coefficients!$B:$B,"攻击"),1)*SUMIFS(TestCases!$D:$D,TestCases!$A:$A,$A19)+SUMIFS(StandardParams!$F:$F,StandardParams!$B:$B,"攻击")*IFERROR(SUMIFS(Coefficients!$F:$F,Coefficients!$A:$A,$B19,Coefficients!$B:$B,"攻击"),1)+SUMIFS(EquipPlans!$I:$I,EquipPlans!$A:$A,$C19,EquipPlans!$B:$B,"攻击")+D19*4)</f>
      </c>
      <c r="K19">
        <f>IF($A19="","",SUMIFS(StandardParams!$C:$C,StandardParams!$B:$B,"防御")*IFERROR(SUMIFS(Coefficients!$C:$C,Coefficients!$A:$A,$B19,Coefficients!$B:$B,"防御"),1)+SUMIFS(StandardParams!$D:$D,StandardParams!$B:$B,"防御")*IFERROR(SUMIFS(Coefficients!$D:$D,Coefficients!$A:$A,$B19,Coefficients!$B:$B,"防御"),1)*SUMIFS(TestCases!$D:$D,TestCases!$A:$A,$A19)+SUMIFS(StandardParams!$F:$F,StandardParams!$B:$B,"防御")*IFERROR(SUMIFS(Coefficients!$F:$F,Coefficients!$A:$A,$B19,Coefficients!$B:$B,"防御"),1)+SUMIFS(EquipPlans!$I:$I,EquipPlans!$A:$A,$C19,EquipPlans!$B:$B,"防御"))</f>
      </c>
      <c r="L19">
        <f>IF($A19="","",SUMIFS(StandardParams!$C:$C,StandardParams!$B:$B,"速度")*IFERROR(SUMIFS(Coefficients!$C:$C,Coefficients!$A:$A,$B19,Coefficients!$B:$B,"速度"),1)+SUMIFS(StandardParams!$D:$D,StandardParams!$B:$B,"速度")*IFERROR(SUMIFS(Coefficients!$D:$D,Coefficients!$A:$A,$B19,Coefficients!$B:$B,"速度"),1)*SUMIFS(TestCases!$D:$D,TestCases!$A:$A,$A19)+SUMIFS(StandardParams!$F:$F,StandardParams!$B:$B,"速度")*IFERROR(SUMIFS(Coefficients!$F:$F,Coefficients!$A:$A,$B19,Coefficients!$B:$B,"速度"),1)+SUMIFS(EquipPlans!$I:$I,EquipPlans!$A:$A,$C19,EquipPlans!$B:$B,"速度")+H19*2)</f>
      </c>
      <c r="M19">
        <f>IF($A19="","",SUMIFS(StandardParams!$C:$C,StandardParams!$B:$B,"命中")*IFERROR(SUMIFS(Coefficients!$C:$C,Coefficients!$A:$A,$B19,Coefficients!$B:$B,"命中"),1)+SUMIFS(StandardParams!$D:$D,StandardParams!$B:$B,"命中")*IFERROR(SUMIFS(Coefficients!$D:$D,Coefficients!$A:$A,$B19,Coefficients!$B:$B,"命中"),1)*SUMIFS(TestCases!$D:$D,TestCases!$A:$A,$A19)+SUMIFS(StandardParams!$F:$F,StandardParams!$B:$B,"命中")*IFERROR(SUMIFS(Coefficients!$F:$F,Coefficients!$A:$A,$B19,Coefficients!$B:$B,"命中"),1)+SUMIFS(EquipPlans!$I:$I,EquipPlans!$A:$A,$C19,EquipPlans!$B:$B,"命中")+E19*2)</f>
      </c>
      <c r="N19">
        <f>IF($A19="","",SUMIFS(StandardParams!$C:$C,StandardParams!$B:$B,"招架")*IFERROR(SUMIFS(Coefficients!$C:$C,Coefficients!$A:$A,$B19,Coefficients!$B:$B,"招架"),1)+SUMIFS(StandardParams!$D:$D,StandardParams!$B:$B,"招架")*IFERROR(SUMIFS(Coefficients!$D:$D,Coefficients!$A:$A,$B19,Coefficients!$B:$B,"招架"),1)*SUMIFS(TestCases!$D:$D,TestCases!$A:$A,$A19)+SUMIFS(StandardParams!$F:$F,StandardParams!$B:$B,"招架")*IFERROR(SUMIFS(Coefficients!$F:$F,Coefficients!$A:$A,$B19,Coefficients!$B:$B,"招架"),1)+SUMIFS(EquipPlans!$I:$I,EquipPlans!$A:$A,$C19,EquipPlans!$B:$B,"招架")+E19*2)</f>
      </c>
      <c r="O19">
        <f>IF($A19="","",SUMIFS(StandardParams!$C:$C,StandardParams!$B:$B,"偏斜")*IFERROR(SUMIFS(Coefficients!$C:$C,Coefficients!$A:$A,$B19,Coefficients!$B:$B,"偏斜"),1)+SUMIFS(StandardParams!$D:$D,StandardParams!$B:$B,"偏斜")*IFERROR(SUMIFS(Coefficients!$D:$D,Coefficients!$A:$A,$B19,Coefficients!$B:$B,"偏斜"),1)*SUMIFS(TestCases!$D:$D,TestCases!$A:$A,$A19)+SUMIFS(StandardParams!$F:$F,StandardParams!$B:$B,"偏斜")*IFERROR(SUMIFS(Coefficients!$F:$F,Coefficients!$A:$A,$B19,Coefficients!$B:$B,"偏斜"),1)+SUMIFS(EquipPlans!$I:$I,EquipPlans!$A:$A,$C19,EquipPlans!$B:$B,"偏斜")+H19*2)</f>
      </c>
      <c r="P19">
        <f>IF($A19="","",SUMIFS(StandardParams!$C:$C,StandardParams!$B:$B,"抵抗")*IFERROR(SUMIFS(Coefficients!$C:$C,Coefficients!$A:$A,$B19,Coefficients!$B:$B,"抵抗"),1)+SUMIFS(StandardParams!$D:$D,StandardParams!$B:$B,"抵抗")*IFERROR(SUMIFS(Coefficients!$D:$D,Coefficients!$A:$A,$B19,Coefficients!$B:$B,"抵抗"),1)*SUMIFS(TestCases!$D:$D,TestCases!$A:$A,$A19)+SUMIFS(StandardParams!$F:$F,StandardParams!$B:$B,"抵抗")*IFERROR(SUMIFS(Coefficients!$F:$F,Coefficients!$A:$A,$B19,Coefficients!$B:$B,"抵抗"),1)+SUMIFS(EquipPlans!$I:$I,EquipPlans!$A:$A,$C19,EquipPlans!$B:$B,"抵抗")+I19*2.5)</f>
      </c>
      <c r="Q19">
        <f>IF($A19="","",SUMIFS(StandardParams!$C:$C,StandardParams!$B:$B,"韧性")*IFERROR(SUMIFS(Coefficients!$C:$C,Coefficients!$A:$A,$B19,Coefficients!$B:$B,"韧性"),1)+SUMIFS(StandardParams!$D:$D,StandardParams!$B:$B,"韧性")*IFERROR(SUMIFS(Coefficients!$D:$D,Coefficients!$A:$A,$B19,Coefficients!$B:$B,"韧性"),1)*SUMIFS(TestCases!$D:$D,TestCases!$A:$A,$A19)+SUMIFS(StandardParams!$F:$F,StandardParams!$B:$B,"韧性")*IFERROR(SUMIFS(Coefficients!$F:$F,Coefficients!$A:$A,$B19,Coefficients!$B:$B,"韧性"),1)+SUMIFS(EquipPlans!$I:$I,EquipPlans!$A:$A,$C19,EquipPlans!$B:$B,"韧性")+F19)</f>
      </c>
      <c r="R19">
        <f>IF($A19="","",SUMIFS(StandardParams!$C:$C,StandardParams!$B:$B,"气血")*IFERROR(SUMIFS(Coefficients!$C:$C,Coefficients!$A:$A,$B19,Coefficients!$B:$B,"气血"),1)+SUMIFS(StandardParams!$D:$D,StandardParams!$B:$B,"气血")*IFERROR(SUMIFS(Coefficients!$D:$D,Coefficients!$A:$A,$B19,Coefficients!$B:$B,"气血"),1)*SUMIFS(TestCases!$D:$D,TestCases!$A:$A,$A19)+SUMIFS(StandardParams!$F:$F,StandardParams!$B:$B,"气血")*IFERROR(SUMIFS(Coefficients!$F:$F,Coefficients!$A:$A,$B19,Coefficients!$B:$B,"气血"),1)+SUMIFS(EquipPlans!$I:$I,EquipPlans!$A:$A,$C19,EquipPlans!$B:$B,"气血")+F19*20)</f>
      </c>
      <c r="S19">
        <f>IF($A19="","",SUMIFS(StandardParams!$C:$C,StandardParams!$B:$B,"内力")*IFERROR(SUMIFS(Coefficients!$C:$C,Coefficients!$A:$A,$B19,Coefficients!$B:$B,"内力"),1)+SUMIFS(StandardParams!$D:$D,StandardParams!$B:$B,"内力")*IFERROR(SUMIFS(Coefficients!$D:$D,Coefficients!$A:$A,$B19,Coefficients!$B:$B,"内力"),1)*SUMIFS(TestCases!$D:$D,TestCases!$A:$A,$A19)+SUMIFS(StandardParams!$F:$F,StandardParams!$B:$B,"内力")*IFERROR(SUMIFS(Coefficients!$F:$F,Coefficients!$A:$A,$B19,Coefficients!$B:$B,"内力"),1)+SUMIFS(EquipPlans!$I:$I,EquipPlans!$A:$A,$C19,EquipPlans!$B:$B,"内力")+G19*10)</f>
      </c>
      <c r="T19">
        <f>IF($A19="","",SUMIFS(StandardParams!$C:$C,StandardParams!$B:$B,"内力回复")*IFERROR(SUMIFS(Coefficients!$C:$C,Coefficients!$A:$A,$B19,Coefficients!$B:$B,"内力回复"),1)+SUMIFS(StandardParams!$D:$D,StandardParams!$B:$B,"内力回复")*IFERROR(SUMIFS(Coefficients!$D:$D,Coefficients!$A:$A,$B19,Coefficients!$B:$B,"内力回复"),1)*SUMIFS(TestCases!$D:$D,TestCases!$A:$A,$A19)+SUMIFS(StandardParams!$F:$F,StandardParams!$B:$B,"内力回复")*IFERROR(SUMIFS(Coefficients!$F:$F,Coefficients!$A:$A,$B19,Coefficients!$B:$B,"内力回复"),1)+SUMIFS(EquipPlans!$I:$I,EquipPlans!$A:$A,$C19,EquipPlans!$B:$B,"内力回复")+G19*0.5)</f>
      </c>
      <c r="U19">
        <f>IF($A19="","",SUMIFS(StandardParams!$C:$C,StandardParams!$B:$B,"气血恢复")*IFERROR(SUMIFS(Coefficients!$C:$C,Coefficients!$A:$A,$B19,Coefficients!$B:$B,"气血恢复"),1)+SUMIFS(StandardParams!$D:$D,StandardParams!$B:$B,"气血恢复")*IFERROR(SUMIFS(Coefficients!$D:$D,Coefficients!$A:$A,$B19,Coefficients!$B:$B,"气血恢复"),1)*SUMIFS(TestCases!$D:$D,TestCases!$A:$A,$A19)+SUMIFS(StandardParams!$F:$F,StandardParams!$B:$B,"气血恢复")*IFERROR(SUMIFS(Coefficients!$F:$F,Coefficients!$A:$A,$B19,Coefficients!$B:$B,"气血恢复"),1)+SUMIFS(EquipPlans!$I:$I,EquipPlans!$A:$A,$C19,EquipPlans!$B:$B,"气血恢复"))</f>
      </c>
      <c r="V19">
        <f>IF($A19="","",L19/(N19+L19+500))</f>
      </c>
      <c r="W19">
        <f>IF($A19="","",M19/(O19+M19+500))</f>
      </c>
      <c r="X19">
        <f>IF($A19="","",K19/(J19+K19))</f>
      </c>
    </row>
    <row r="20">
      <c r="A20">
        <f>IF(TestCases!A20="","",TestCases!A20)</f>
      </c>
      <c r="B20">
        <f>IF($A20="","",TestCases!B20)</f>
      </c>
      <c r="C20">
        <f>IF($A20="","",TestCases!C20)</f>
      </c>
      <c r="D20">
        <f>IF($A20="","",SUMIFS(StandardParams!$C:$C,StandardParams!$B:$B,"臂力")*IFERROR(SUMIFS(Coefficients!$C:$C,Coefficients!$A:$A,$B20,Coefficients!$B:$B,"臂力"),1)+SUMIFS(StandardParams!$D:$D,StandardParams!$B:$B,"臂力")*IFERROR(SUMIFS(Coefficients!$D:$D,Coefficients!$A:$A,$B20,Coefficients!$B:$B,"臂力"),1)*SUMIFS(TestCases!$D:$D,TestCases!$A:$A,$A20)*SUMIFS(StandardParams!$E:$E,StandardParams!$B:$B,"臂力")*IFERROR(SUMIFS(Coefficients!$E:$E,Coefficients!$A:$A,$B20,Coefficients!$B:$B,"臂力"),1)+SUMIFS(StandardParams!$F:$F,StandardParams!$B:$B,"臂力")*IFERROR(SUMIFS(Coefficients!$F:$F,Coefficients!$A:$A,$B20,Coefficients!$B:$B,"臂力"),1))</f>
      </c>
      <c r="E20">
        <f>IF($A20="","",SUMIFS(StandardParams!$C:$C,StandardParams!$B:$B,"技巧")*IFERROR(SUMIFS(Coefficients!$C:$C,Coefficients!$A:$A,$B20,Coefficients!$B:$B,"技巧"),1)+SUMIFS(StandardParams!$D:$D,StandardParams!$B:$B,"技巧")*IFERROR(SUMIFS(Coefficients!$D:$D,Coefficients!$A:$A,$B20,Coefficients!$B:$B,"技巧"),1)*SUMIFS(TestCases!$D:$D,TestCases!$A:$A,$A20)*SUMIFS(StandardParams!$E:$E,StandardParams!$B:$B,"技巧")*IFERROR(SUMIFS(Coefficients!$E:$E,Coefficients!$A:$A,$B20,Coefficients!$B:$B,"技巧"),1)+SUMIFS(StandardParams!$F:$F,StandardParams!$B:$B,"技巧")*IFERROR(SUMIFS(Coefficients!$F:$F,Coefficients!$A:$A,$B20,Coefficients!$B:$B,"技巧"),1))</f>
      </c>
      <c r="F20">
        <f>IF($A20="","",SUMIFS(StandardParams!$C:$C,StandardParams!$B:$B,"根骨")*IFERROR(SUMIFS(Coefficients!$C:$C,Coefficients!$A:$A,$B20,Coefficients!$B:$B,"根骨"),1)+SUMIFS(StandardParams!$D:$D,StandardParams!$B:$B,"根骨")*IFERROR(SUMIFS(Coefficients!$D:$D,Coefficients!$A:$A,$B20,Coefficients!$B:$B,"根骨"),1)*SUMIFS(TestCases!$D:$D,TestCases!$A:$A,$A20)*SUMIFS(StandardParams!$E:$E,StandardParams!$B:$B,"根骨")*IFERROR(SUMIFS(Coefficients!$E:$E,Coefficients!$A:$A,$B20,Coefficients!$B:$B,"根骨"),1)+SUMIFS(StandardParams!$F:$F,StandardParams!$B:$B,"根骨")*IFERROR(SUMIFS(Coefficients!$F:$F,Coefficients!$A:$A,$B20,Coefficients!$B:$B,"根骨"),1))</f>
      </c>
      <c r="G20">
        <f>IF($A20="","",SUMIFS(StandardParams!$C:$C,StandardParams!$B:$B,"内息")*IFERROR(SUMIFS(Coefficients!$C:$C,Coefficients!$A:$A,$B20,Coefficients!$B:$B,"内息"),1)+SUMIFS(StandardParams!$D:$D,StandardParams!$B:$B,"内息")*IFERROR(SUMIFS(Coefficients!$D:$D,Coefficients!$A:$A,$B20,Coefficients!$B:$B,"内息"),1)*SUMIFS(TestCases!$D:$D,TestCases!$A:$A,$A20)*SUMIFS(StandardParams!$E:$E,StandardParams!$B:$B,"内息")*IFERROR(SUMIFS(Coefficients!$E:$E,Coefficients!$A:$A,$B20,Coefficients!$B:$B,"内息"),1)+SUMIFS(StandardParams!$F:$F,StandardParams!$B:$B,"内息")*IFERROR(SUMIFS(Coefficients!$F:$F,Coefficients!$A:$A,$B20,Coefficients!$B:$B,"内息"),1))</f>
      </c>
      <c r="H20">
        <f>IF($A20="","",SUMIFS(StandardParams!$C:$C,StandardParams!$B:$B,"身法")*IFERROR(SUMIFS(Coefficients!$C:$C,Coefficients!$A:$A,$B20,Coefficients!$B:$B,"身法"),1)+SUMIFS(StandardParams!$D:$D,StandardParams!$B:$B,"身法")*IFERROR(SUMIFS(Coefficients!$D:$D,Coefficients!$A:$A,$B20,Coefficients!$B:$B,"身法"),1)*SUMIFS(TestCases!$D:$D,TestCases!$A:$A,$A20)*SUMIFS(StandardParams!$E:$E,StandardParams!$B:$B,"身法")*IFERROR(SUMIFS(Coefficients!$E:$E,Coefficients!$A:$A,$B20,Coefficients!$B:$B,"身法"),1)+SUMIFS(StandardParams!$F:$F,StandardParams!$B:$B,"身法")*IFERROR(SUMIFS(Coefficients!$F:$F,Coefficients!$A:$A,$B20,Coefficients!$B:$B,"身法"),1))</f>
      </c>
      <c r="I20">
        <f>IF($A20="","",SUMIFS(StandardParams!$C:$C,StandardParams!$B:$B,"定力")*IFERROR(SUMIFS(Coefficients!$C:$C,Coefficients!$A:$A,$B20,Coefficients!$B:$B,"定力"),1)+SUMIFS(StandardParams!$D:$D,StandardParams!$B:$B,"定力")*IFERROR(SUMIFS(Coefficients!$D:$D,Coefficients!$A:$A,$B20,Coefficients!$B:$B,"定力"),1)*SUMIFS(TestCases!$D:$D,TestCases!$A:$A,$A20)*SUMIFS(StandardParams!$E:$E,StandardParams!$B:$B,"定力")*IFERROR(SUMIFS(Coefficients!$E:$E,Coefficients!$A:$A,$B20,Coefficients!$B:$B,"定力"),1)+SUMIFS(StandardParams!$F:$F,StandardParams!$B:$B,"定力")*IFERROR(SUMIFS(Coefficients!$F:$F,Coefficients!$A:$A,$B20,Coefficients!$B:$B,"定力"),1))</f>
      </c>
      <c r="J20">
        <f>IF($A20="","",SUMIFS(StandardParams!$C:$C,StandardParams!$B:$B,"攻击")*IFERROR(SUMIFS(Coefficients!$C:$C,Coefficients!$A:$A,$B20,Coefficients!$B:$B,"攻击"),1)+SUMIFS(StandardParams!$D:$D,StandardParams!$B:$B,"攻击")*IFERROR(SUMIFS(Coefficients!$D:$D,Coefficients!$A:$A,$B20,Coefficients!$B:$B,"攻击"),1)*SUMIFS(TestCases!$D:$D,TestCases!$A:$A,$A20)+SUMIFS(StandardParams!$F:$F,StandardParams!$B:$B,"攻击")*IFERROR(SUMIFS(Coefficients!$F:$F,Coefficients!$A:$A,$B20,Coefficients!$B:$B,"攻击"),1)+SUMIFS(EquipPlans!$I:$I,EquipPlans!$A:$A,$C20,EquipPlans!$B:$B,"攻击")+D20*4)</f>
      </c>
      <c r="K20">
        <f>IF($A20="","",SUMIFS(StandardParams!$C:$C,StandardParams!$B:$B,"防御")*IFERROR(SUMIFS(Coefficients!$C:$C,Coefficients!$A:$A,$B20,Coefficients!$B:$B,"防御"),1)+SUMIFS(StandardParams!$D:$D,StandardParams!$B:$B,"防御")*IFERROR(SUMIFS(Coefficients!$D:$D,Coefficients!$A:$A,$B20,Coefficients!$B:$B,"防御"),1)*SUMIFS(TestCases!$D:$D,TestCases!$A:$A,$A20)+SUMIFS(StandardParams!$F:$F,StandardParams!$B:$B,"防御")*IFERROR(SUMIFS(Coefficients!$F:$F,Coefficients!$A:$A,$B20,Coefficients!$B:$B,"防御"),1)+SUMIFS(EquipPlans!$I:$I,EquipPlans!$A:$A,$C20,EquipPlans!$B:$B,"防御"))</f>
      </c>
      <c r="L20">
        <f>IF($A20="","",SUMIFS(StandardParams!$C:$C,StandardParams!$B:$B,"速度")*IFERROR(SUMIFS(Coefficients!$C:$C,Coefficients!$A:$A,$B20,Coefficients!$B:$B,"速度"),1)+SUMIFS(StandardParams!$D:$D,StandardParams!$B:$B,"速度")*IFERROR(SUMIFS(Coefficients!$D:$D,Coefficients!$A:$A,$B20,Coefficients!$B:$B,"速度"),1)*SUMIFS(TestCases!$D:$D,TestCases!$A:$A,$A20)+SUMIFS(StandardParams!$F:$F,StandardParams!$B:$B,"速度")*IFERROR(SUMIFS(Coefficients!$F:$F,Coefficients!$A:$A,$B20,Coefficients!$B:$B,"速度"),1)+SUMIFS(EquipPlans!$I:$I,EquipPlans!$A:$A,$C20,EquipPlans!$B:$B,"速度")+H20*2)</f>
      </c>
      <c r="M20">
        <f>IF($A20="","",SUMIFS(StandardParams!$C:$C,StandardParams!$B:$B,"命中")*IFERROR(SUMIFS(Coefficients!$C:$C,Coefficients!$A:$A,$B20,Coefficients!$B:$B,"命中"),1)+SUMIFS(StandardParams!$D:$D,StandardParams!$B:$B,"命中")*IFERROR(SUMIFS(Coefficients!$D:$D,Coefficients!$A:$A,$B20,Coefficients!$B:$B,"命中"),1)*SUMIFS(TestCases!$D:$D,TestCases!$A:$A,$A20)+SUMIFS(StandardParams!$F:$F,StandardParams!$B:$B,"命中")*IFERROR(SUMIFS(Coefficients!$F:$F,Coefficients!$A:$A,$B20,Coefficients!$B:$B,"命中"),1)+SUMIFS(EquipPlans!$I:$I,EquipPlans!$A:$A,$C20,EquipPlans!$B:$B,"命中")+E20*2)</f>
      </c>
      <c r="N20">
        <f>IF($A20="","",SUMIFS(StandardParams!$C:$C,StandardParams!$B:$B,"招架")*IFERROR(SUMIFS(Coefficients!$C:$C,Coefficients!$A:$A,$B20,Coefficients!$B:$B,"招架"),1)+SUMIFS(StandardParams!$D:$D,StandardParams!$B:$B,"招架")*IFERROR(SUMIFS(Coefficients!$D:$D,Coefficients!$A:$A,$B20,Coefficients!$B:$B,"招架"),1)*SUMIFS(TestCases!$D:$D,TestCases!$A:$A,$A20)+SUMIFS(StandardParams!$F:$F,StandardParams!$B:$B,"招架")*IFERROR(SUMIFS(Coefficients!$F:$F,Coefficients!$A:$A,$B20,Coefficients!$B:$B,"招架"),1)+SUMIFS(EquipPlans!$I:$I,EquipPlans!$A:$A,$C20,EquipPlans!$B:$B,"招架")+E20*2)</f>
      </c>
      <c r="O20">
        <f>IF($A20="","",SUMIFS(StandardParams!$C:$C,StandardParams!$B:$B,"偏斜")*IFERROR(SUMIFS(Coefficients!$C:$C,Coefficients!$A:$A,$B20,Coefficients!$B:$B,"偏斜"),1)+SUMIFS(StandardParams!$D:$D,StandardParams!$B:$B,"偏斜")*IFERROR(SUMIFS(Coefficients!$D:$D,Coefficients!$A:$A,$B20,Coefficients!$B:$B,"偏斜"),1)*SUMIFS(TestCases!$D:$D,TestCases!$A:$A,$A20)+SUMIFS(StandardParams!$F:$F,StandardParams!$B:$B,"偏斜")*IFERROR(SUMIFS(Coefficients!$F:$F,Coefficients!$A:$A,$B20,Coefficients!$B:$B,"偏斜"),1)+SUMIFS(EquipPlans!$I:$I,EquipPlans!$A:$A,$C20,EquipPlans!$B:$B,"偏斜")+H20*2)</f>
      </c>
      <c r="P20">
        <f>IF($A20="","",SUMIFS(StandardParams!$C:$C,StandardParams!$B:$B,"抵抗")*IFERROR(SUMIFS(Coefficients!$C:$C,Coefficients!$A:$A,$B20,Coefficients!$B:$B,"抵抗"),1)+SUMIFS(StandardParams!$D:$D,StandardParams!$B:$B,"抵抗")*IFERROR(SUMIFS(Coefficients!$D:$D,Coefficients!$A:$A,$B20,Coefficients!$B:$B,"抵抗"),1)*SUMIFS(TestCases!$D:$D,TestCases!$A:$A,$A20)+SUMIFS(StandardParams!$F:$F,StandardParams!$B:$B,"抵抗")*IFERROR(SUMIFS(Coefficients!$F:$F,Coefficients!$A:$A,$B20,Coefficients!$B:$B,"抵抗"),1)+SUMIFS(EquipPlans!$I:$I,EquipPlans!$A:$A,$C20,EquipPlans!$B:$B,"抵抗")+I20*2.5)</f>
      </c>
      <c r="Q20">
        <f>IF($A20="","",SUMIFS(StandardParams!$C:$C,StandardParams!$B:$B,"韧性")*IFERROR(SUMIFS(Coefficients!$C:$C,Coefficients!$A:$A,$B20,Coefficients!$B:$B,"韧性"),1)+SUMIFS(StandardParams!$D:$D,StandardParams!$B:$B,"韧性")*IFERROR(SUMIFS(Coefficients!$D:$D,Coefficients!$A:$A,$B20,Coefficients!$B:$B,"韧性"),1)*SUMIFS(TestCases!$D:$D,TestCases!$A:$A,$A20)+SUMIFS(StandardParams!$F:$F,StandardParams!$B:$B,"韧性")*IFERROR(SUMIFS(Coefficients!$F:$F,Coefficients!$A:$A,$B20,Coefficients!$B:$B,"韧性"),1)+SUMIFS(EquipPlans!$I:$I,EquipPlans!$A:$A,$C20,EquipPlans!$B:$B,"韧性")+F20)</f>
      </c>
      <c r="R20">
        <f>IF($A20="","",SUMIFS(StandardParams!$C:$C,StandardParams!$B:$B,"气血")*IFERROR(SUMIFS(Coefficients!$C:$C,Coefficients!$A:$A,$B20,Coefficients!$B:$B,"气血"),1)+SUMIFS(StandardParams!$D:$D,StandardParams!$B:$B,"气血")*IFERROR(SUMIFS(Coefficients!$D:$D,Coefficients!$A:$A,$B20,Coefficients!$B:$B,"气血"),1)*SUMIFS(TestCases!$D:$D,TestCases!$A:$A,$A20)+SUMIFS(StandardParams!$F:$F,StandardParams!$B:$B,"气血")*IFERROR(SUMIFS(Coefficients!$F:$F,Coefficients!$A:$A,$B20,Coefficients!$B:$B,"气血"),1)+SUMIFS(EquipPlans!$I:$I,EquipPlans!$A:$A,$C20,EquipPlans!$B:$B,"气血")+F20*20)</f>
      </c>
      <c r="S20">
        <f>IF($A20="","",SUMIFS(StandardParams!$C:$C,StandardParams!$B:$B,"内力")*IFERROR(SUMIFS(Coefficients!$C:$C,Coefficients!$A:$A,$B20,Coefficients!$B:$B,"内力"),1)+SUMIFS(StandardParams!$D:$D,StandardParams!$B:$B,"内力")*IFERROR(SUMIFS(Coefficients!$D:$D,Coefficients!$A:$A,$B20,Coefficients!$B:$B,"内力"),1)*SUMIFS(TestCases!$D:$D,TestCases!$A:$A,$A20)+SUMIFS(StandardParams!$F:$F,StandardParams!$B:$B,"内力")*IFERROR(SUMIFS(Coefficients!$F:$F,Coefficients!$A:$A,$B20,Coefficients!$B:$B,"内力"),1)+SUMIFS(EquipPlans!$I:$I,EquipPlans!$A:$A,$C20,EquipPlans!$B:$B,"内力")+G20*10)</f>
      </c>
      <c r="T20">
        <f>IF($A20="","",SUMIFS(StandardParams!$C:$C,StandardParams!$B:$B,"内力回复")*IFERROR(SUMIFS(Coefficients!$C:$C,Coefficients!$A:$A,$B20,Coefficients!$B:$B,"内力回复"),1)+SUMIFS(StandardParams!$D:$D,StandardParams!$B:$B,"内力回复")*IFERROR(SUMIFS(Coefficients!$D:$D,Coefficients!$A:$A,$B20,Coefficients!$B:$B,"内力回复"),1)*SUMIFS(TestCases!$D:$D,TestCases!$A:$A,$A20)+SUMIFS(StandardParams!$F:$F,StandardParams!$B:$B,"内力回复")*IFERROR(SUMIFS(Coefficients!$F:$F,Coefficients!$A:$A,$B20,Coefficients!$B:$B,"内力回复"),1)+SUMIFS(EquipPlans!$I:$I,EquipPlans!$A:$A,$C20,EquipPlans!$B:$B,"内力回复")+G20*0.5)</f>
      </c>
      <c r="U20">
        <f>IF($A20="","",SUMIFS(StandardParams!$C:$C,StandardParams!$B:$B,"气血恢复")*IFERROR(SUMIFS(Coefficients!$C:$C,Coefficients!$A:$A,$B20,Coefficients!$B:$B,"气血恢复"),1)+SUMIFS(StandardParams!$D:$D,StandardParams!$B:$B,"气血恢复")*IFERROR(SUMIFS(Coefficients!$D:$D,Coefficients!$A:$A,$B20,Coefficients!$B:$B,"气血恢复"),1)*SUMIFS(TestCases!$D:$D,TestCases!$A:$A,$A20)+SUMIFS(StandardParams!$F:$F,StandardParams!$B:$B,"气血恢复")*IFERROR(SUMIFS(Coefficients!$F:$F,Coefficients!$A:$A,$B20,Coefficients!$B:$B,"气血恢复"),1)+SUMIFS(EquipPlans!$I:$I,EquipPlans!$A:$A,$C20,EquipPlans!$B:$B,"气血恢复"))</f>
      </c>
      <c r="V20">
        <f>IF($A20="","",L20/(N20+L20+500))</f>
      </c>
      <c r="W20">
        <f>IF($A20="","",M20/(O20+M20+500))</f>
      </c>
      <c r="X20">
        <f>IF($A20="","",K20/(J20+K20))</f>
      </c>
    </row>
    <row r="21">
      <c r="A21">
        <f>IF(TestCases!A21="","",TestCases!A21)</f>
      </c>
      <c r="B21">
        <f>IF($A21="","",TestCases!B21)</f>
      </c>
      <c r="C21">
        <f>IF($A21="","",TestCases!C21)</f>
      </c>
      <c r="D21">
        <f>IF($A21="","",SUMIFS(StandardParams!$C:$C,StandardParams!$B:$B,"臂力")*IFERROR(SUMIFS(Coefficients!$C:$C,Coefficients!$A:$A,$B21,Coefficients!$B:$B,"臂力"),1)+SUMIFS(StandardParams!$D:$D,StandardParams!$B:$B,"臂力")*IFERROR(SUMIFS(Coefficients!$D:$D,Coefficients!$A:$A,$B21,Coefficients!$B:$B,"臂力"),1)*SUMIFS(TestCases!$D:$D,TestCases!$A:$A,$A21)*SUMIFS(StandardParams!$E:$E,StandardParams!$B:$B,"臂力")*IFERROR(SUMIFS(Coefficients!$E:$E,Coefficients!$A:$A,$B21,Coefficients!$B:$B,"臂力"),1)+SUMIFS(StandardParams!$F:$F,StandardParams!$B:$B,"臂力")*IFERROR(SUMIFS(Coefficients!$F:$F,Coefficients!$A:$A,$B21,Coefficients!$B:$B,"臂力"),1))</f>
      </c>
      <c r="E21">
        <f>IF($A21="","",SUMIFS(StandardParams!$C:$C,StandardParams!$B:$B,"技巧")*IFERROR(SUMIFS(Coefficients!$C:$C,Coefficients!$A:$A,$B21,Coefficients!$B:$B,"技巧"),1)+SUMIFS(StandardParams!$D:$D,StandardParams!$B:$B,"技巧")*IFERROR(SUMIFS(Coefficients!$D:$D,Coefficients!$A:$A,$B21,Coefficients!$B:$B,"技巧"),1)*SUMIFS(TestCases!$D:$D,TestCases!$A:$A,$A21)*SUMIFS(StandardParams!$E:$E,StandardParams!$B:$B,"技巧")*IFERROR(SUMIFS(Coefficients!$E:$E,Coefficients!$A:$A,$B21,Coefficients!$B:$B,"技巧"),1)+SUMIFS(StandardParams!$F:$F,StandardParams!$B:$B,"技巧")*IFERROR(SUMIFS(Coefficients!$F:$F,Coefficients!$A:$A,$B21,Coefficients!$B:$B,"技巧"),1))</f>
      </c>
      <c r="F21">
        <f>IF($A21="","",SUMIFS(StandardParams!$C:$C,StandardParams!$B:$B,"根骨")*IFERROR(SUMIFS(Coefficients!$C:$C,Coefficients!$A:$A,$B21,Coefficients!$B:$B,"根骨"),1)+SUMIFS(StandardParams!$D:$D,StandardParams!$B:$B,"根骨")*IFERROR(SUMIFS(Coefficients!$D:$D,Coefficients!$A:$A,$B21,Coefficients!$B:$B,"根骨"),1)*SUMIFS(TestCases!$D:$D,TestCases!$A:$A,$A21)*SUMIFS(StandardParams!$E:$E,StandardParams!$B:$B,"根骨")*IFERROR(SUMIFS(Coefficients!$E:$E,Coefficients!$A:$A,$B21,Coefficients!$B:$B,"根骨"),1)+SUMIFS(StandardParams!$F:$F,StandardParams!$B:$B,"根骨")*IFERROR(SUMIFS(Coefficients!$F:$F,Coefficients!$A:$A,$B21,Coefficients!$B:$B,"根骨"),1))</f>
      </c>
      <c r="G21">
        <f>IF($A21="","",SUMIFS(StandardParams!$C:$C,StandardParams!$B:$B,"内息")*IFERROR(SUMIFS(Coefficients!$C:$C,Coefficients!$A:$A,$B21,Coefficients!$B:$B,"内息"),1)+SUMIFS(StandardParams!$D:$D,StandardParams!$B:$B,"内息")*IFERROR(SUMIFS(Coefficients!$D:$D,Coefficients!$A:$A,$B21,Coefficients!$B:$B,"内息"),1)*SUMIFS(TestCases!$D:$D,TestCases!$A:$A,$A21)*SUMIFS(StandardParams!$E:$E,StandardParams!$B:$B,"内息")*IFERROR(SUMIFS(Coefficients!$E:$E,Coefficients!$A:$A,$B21,Coefficients!$B:$B,"内息"),1)+SUMIFS(StandardParams!$F:$F,StandardParams!$B:$B,"内息")*IFERROR(SUMIFS(Coefficients!$F:$F,Coefficients!$A:$A,$B21,Coefficients!$B:$B,"内息"),1))</f>
      </c>
      <c r="H21">
        <f>IF($A21="","",SUMIFS(StandardParams!$C:$C,StandardParams!$B:$B,"身法")*IFERROR(SUMIFS(Coefficients!$C:$C,Coefficients!$A:$A,$B21,Coefficients!$B:$B,"身法"),1)+SUMIFS(StandardParams!$D:$D,StandardParams!$B:$B,"身法")*IFERROR(SUMIFS(Coefficients!$D:$D,Coefficients!$A:$A,$B21,Coefficients!$B:$B,"身法"),1)*SUMIFS(TestCases!$D:$D,TestCases!$A:$A,$A21)*SUMIFS(StandardParams!$E:$E,StandardParams!$B:$B,"身法")*IFERROR(SUMIFS(Coefficients!$E:$E,Coefficients!$A:$A,$B21,Coefficients!$B:$B,"身法"),1)+SUMIFS(StandardParams!$F:$F,StandardParams!$B:$B,"身法")*IFERROR(SUMIFS(Coefficients!$F:$F,Coefficients!$A:$A,$B21,Coefficients!$B:$B,"身法"),1))</f>
      </c>
      <c r="I21">
        <f>IF($A21="","",SUMIFS(StandardParams!$C:$C,StandardParams!$B:$B,"定力")*IFERROR(SUMIFS(Coefficients!$C:$C,Coefficients!$A:$A,$B21,Coefficients!$B:$B,"定力"),1)+SUMIFS(StandardParams!$D:$D,StandardParams!$B:$B,"定力")*IFERROR(SUMIFS(Coefficients!$D:$D,Coefficients!$A:$A,$B21,Coefficients!$B:$B,"定力"),1)*SUMIFS(TestCases!$D:$D,TestCases!$A:$A,$A21)*SUMIFS(StandardParams!$E:$E,StandardParams!$B:$B,"定力")*IFERROR(SUMIFS(Coefficients!$E:$E,Coefficients!$A:$A,$B21,Coefficients!$B:$B,"定力"),1)+SUMIFS(StandardParams!$F:$F,StandardParams!$B:$B,"定力")*IFERROR(SUMIFS(Coefficients!$F:$F,Coefficients!$A:$A,$B21,Coefficients!$B:$B,"定力"),1))</f>
      </c>
      <c r="J21">
        <f>IF($A21="","",SUMIFS(StandardParams!$C:$C,StandardParams!$B:$B,"攻击")*IFERROR(SUMIFS(Coefficients!$C:$C,Coefficients!$A:$A,$B21,Coefficients!$B:$B,"攻击"),1)+SUMIFS(StandardParams!$D:$D,StandardParams!$B:$B,"攻击")*IFERROR(SUMIFS(Coefficients!$D:$D,Coefficients!$A:$A,$B21,Coefficients!$B:$B,"攻击"),1)*SUMIFS(TestCases!$D:$D,TestCases!$A:$A,$A21)+SUMIFS(StandardParams!$F:$F,StandardParams!$B:$B,"攻击")*IFERROR(SUMIFS(Coefficients!$F:$F,Coefficients!$A:$A,$B21,Coefficients!$B:$B,"攻击"),1)+SUMIFS(EquipPlans!$I:$I,EquipPlans!$A:$A,$C21,EquipPlans!$B:$B,"攻击")+D21*4)</f>
      </c>
      <c r="K21">
        <f>IF($A21="","",SUMIFS(StandardParams!$C:$C,StandardParams!$B:$B,"防御")*IFERROR(SUMIFS(Coefficients!$C:$C,Coefficients!$A:$A,$B21,Coefficients!$B:$B,"防御"),1)+SUMIFS(StandardParams!$D:$D,StandardParams!$B:$B,"防御")*IFERROR(SUMIFS(Coefficients!$D:$D,Coefficients!$A:$A,$B21,Coefficients!$B:$B,"防御"),1)*SUMIFS(TestCases!$D:$D,TestCases!$A:$A,$A21)+SUMIFS(StandardParams!$F:$F,StandardParams!$B:$B,"防御")*IFERROR(SUMIFS(Coefficients!$F:$F,Coefficients!$A:$A,$B21,Coefficients!$B:$B,"防御"),1)+SUMIFS(EquipPlans!$I:$I,EquipPlans!$A:$A,$C21,EquipPlans!$B:$B,"防御"))</f>
      </c>
      <c r="L21">
        <f>IF($A21="","",SUMIFS(StandardParams!$C:$C,StandardParams!$B:$B,"速度")*IFERROR(SUMIFS(Coefficients!$C:$C,Coefficients!$A:$A,$B21,Coefficients!$B:$B,"速度"),1)+SUMIFS(StandardParams!$D:$D,StandardParams!$B:$B,"速度")*IFERROR(SUMIFS(Coefficients!$D:$D,Coefficients!$A:$A,$B21,Coefficients!$B:$B,"速度"),1)*SUMIFS(TestCases!$D:$D,TestCases!$A:$A,$A21)+SUMIFS(StandardParams!$F:$F,StandardParams!$B:$B,"速度")*IFERROR(SUMIFS(Coefficients!$F:$F,Coefficients!$A:$A,$B21,Coefficients!$B:$B,"速度"),1)+SUMIFS(EquipPlans!$I:$I,EquipPlans!$A:$A,$C21,EquipPlans!$B:$B,"速度")+H21*2)</f>
      </c>
      <c r="M21">
        <f>IF($A21="","",SUMIFS(StandardParams!$C:$C,StandardParams!$B:$B,"命中")*IFERROR(SUMIFS(Coefficients!$C:$C,Coefficients!$A:$A,$B21,Coefficients!$B:$B,"命中"),1)+SUMIFS(StandardParams!$D:$D,StandardParams!$B:$B,"命中")*IFERROR(SUMIFS(Coefficients!$D:$D,Coefficients!$A:$A,$B21,Coefficients!$B:$B,"命中"),1)*SUMIFS(TestCases!$D:$D,TestCases!$A:$A,$A21)+SUMIFS(StandardParams!$F:$F,StandardParams!$B:$B,"命中")*IFERROR(SUMIFS(Coefficients!$F:$F,Coefficients!$A:$A,$B21,Coefficients!$B:$B,"命中"),1)+SUMIFS(EquipPlans!$I:$I,EquipPlans!$A:$A,$C21,EquipPlans!$B:$B,"命中")+E21*2)</f>
      </c>
      <c r="N21">
        <f>IF($A21="","",SUMIFS(StandardParams!$C:$C,StandardParams!$B:$B,"招架")*IFERROR(SUMIFS(Coefficients!$C:$C,Coefficients!$A:$A,$B21,Coefficients!$B:$B,"招架"),1)+SUMIFS(StandardParams!$D:$D,StandardParams!$B:$B,"招架")*IFERROR(SUMIFS(Coefficients!$D:$D,Coefficients!$A:$A,$B21,Coefficients!$B:$B,"招架"),1)*SUMIFS(TestCases!$D:$D,TestCases!$A:$A,$A21)+SUMIFS(StandardParams!$F:$F,StandardParams!$B:$B,"招架")*IFERROR(SUMIFS(Coefficients!$F:$F,Coefficients!$A:$A,$B21,Coefficients!$B:$B,"招架"),1)+SUMIFS(EquipPlans!$I:$I,EquipPlans!$A:$A,$C21,EquipPlans!$B:$B,"招架")+E21*2)</f>
      </c>
      <c r="O21">
        <f>IF($A21="","",SUMIFS(StandardParams!$C:$C,StandardParams!$B:$B,"偏斜")*IFERROR(SUMIFS(Coefficients!$C:$C,Coefficients!$A:$A,$B21,Coefficients!$B:$B,"偏斜"),1)+SUMIFS(StandardParams!$D:$D,StandardParams!$B:$B,"偏斜")*IFERROR(SUMIFS(Coefficients!$D:$D,Coefficients!$A:$A,$B21,Coefficients!$B:$B,"偏斜"),1)*SUMIFS(TestCases!$D:$D,TestCases!$A:$A,$A21)+SUMIFS(StandardParams!$F:$F,StandardParams!$B:$B,"偏斜")*IFERROR(SUMIFS(Coefficients!$F:$F,Coefficients!$A:$A,$B21,Coefficients!$B:$B,"偏斜"),1)+SUMIFS(EquipPlans!$I:$I,EquipPlans!$A:$A,$C21,EquipPlans!$B:$B,"偏斜")+H21*2)</f>
      </c>
      <c r="P21">
        <f>IF($A21="","",SUMIFS(StandardParams!$C:$C,StandardParams!$B:$B,"抵抗")*IFERROR(SUMIFS(Coefficients!$C:$C,Coefficients!$A:$A,$B21,Coefficients!$B:$B,"抵抗"),1)+SUMIFS(StandardParams!$D:$D,StandardParams!$B:$B,"抵抗")*IFERROR(SUMIFS(Coefficients!$D:$D,Coefficients!$A:$A,$B21,Coefficients!$B:$B,"抵抗"),1)*SUMIFS(TestCases!$D:$D,TestCases!$A:$A,$A21)+SUMIFS(StandardParams!$F:$F,StandardParams!$B:$B,"抵抗")*IFERROR(SUMIFS(Coefficients!$F:$F,Coefficients!$A:$A,$B21,Coefficients!$B:$B,"抵抗"),1)+SUMIFS(EquipPlans!$I:$I,EquipPlans!$A:$A,$C21,EquipPlans!$B:$B,"抵抗")+I21*2.5)</f>
      </c>
      <c r="Q21">
        <f>IF($A21="","",SUMIFS(StandardParams!$C:$C,StandardParams!$B:$B,"韧性")*IFERROR(SUMIFS(Coefficients!$C:$C,Coefficients!$A:$A,$B21,Coefficients!$B:$B,"韧性"),1)+SUMIFS(StandardParams!$D:$D,StandardParams!$B:$B,"韧性")*IFERROR(SUMIFS(Coefficients!$D:$D,Coefficients!$A:$A,$B21,Coefficients!$B:$B,"韧性"),1)*SUMIFS(TestCases!$D:$D,TestCases!$A:$A,$A21)+SUMIFS(StandardParams!$F:$F,StandardParams!$B:$B,"韧性")*IFERROR(SUMIFS(Coefficients!$F:$F,Coefficients!$A:$A,$B21,Coefficients!$B:$B,"韧性"),1)+SUMIFS(EquipPlans!$I:$I,EquipPlans!$A:$A,$C21,EquipPlans!$B:$B,"韧性")+F21)</f>
      </c>
      <c r="R21">
        <f>IF($A21="","",SUMIFS(StandardParams!$C:$C,StandardParams!$B:$B,"气血")*IFERROR(SUMIFS(Coefficients!$C:$C,Coefficients!$A:$A,$B21,Coefficients!$B:$B,"气血"),1)+SUMIFS(StandardParams!$D:$D,StandardParams!$B:$B,"气血")*IFERROR(SUMIFS(Coefficients!$D:$D,Coefficients!$A:$A,$B21,Coefficients!$B:$B,"气血"),1)*SUMIFS(TestCases!$D:$D,TestCases!$A:$A,$A21)+SUMIFS(StandardParams!$F:$F,StandardParams!$B:$B,"气血")*IFERROR(SUMIFS(Coefficients!$F:$F,Coefficients!$A:$A,$B21,Coefficients!$B:$B,"气血"),1)+SUMIFS(EquipPlans!$I:$I,EquipPlans!$A:$A,$C21,EquipPlans!$B:$B,"气血")+F21*20)</f>
      </c>
      <c r="S21">
        <f>IF($A21="","",SUMIFS(StandardParams!$C:$C,StandardParams!$B:$B,"内力")*IFERROR(SUMIFS(Coefficients!$C:$C,Coefficients!$A:$A,$B21,Coefficients!$B:$B,"内力"),1)+SUMIFS(StandardParams!$D:$D,StandardParams!$B:$B,"内力")*IFERROR(SUMIFS(Coefficients!$D:$D,Coefficients!$A:$A,$B21,Coefficients!$B:$B,"内力"),1)*SUMIFS(TestCases!$D:$D,TestCases!$A:$A,$A21)+SUMIFS(StandardParams!$F:$F,StandardParams!$B:$B,"内力")*IFERROR(SUMIFS(Coefficients!$F:$F,Coefficients!$A:$A,$B21,Coefficients!$B:$B,"内力"),1)+SUMIFS(EquipPlans!$I:$I,EquipPlans!$A:$A,$C21,EquipPlans!$B:$B,"内力")+G21*10)</f>
      </c>
      <c r="T21">
        <f>IF($A21="","",SUMIFS(StandardParams!$C:$C,StandardParams!$B:$B,"内力回复")*IFERROR(SUMIFS(Coefficients!$C:$C,Coefficients!$A:$A,$B21,Coefficients!$B:$B,"内力回复"),1)+SUMIFS(StandardParams!$D:$D,StandardParams!$B:$B,"内力回复")*IFERROR(SUMIFS(Coefficients!$D:$D,Coefficients!$A:$A,$B21,Coefficients!$B:$B,"内力回复"),1)*SUMIFS(TestCases!$D:$D,TestCases!$A:$A,$A21)+SUMIFS(StandardParams!$F:$F,StandardParams!$B:$B,"内力回复")*IFERROR(SUMIFS(Coefficients!$F:$F,Coefficients!$A:$A,$B21,Coefficients!$B:$B,"内力回复"),1)+SUMIFS(EquipPlans!$I:$I,EquipPlans!$A:$A,$C21,EquipPlans!$B:$B,"内力回复")+G21*0.5)</f>
      </c>
      <c r="U21">
        <f>IF($A21="","",SUMIFS(StandardParams!$C:$C,StandardParams!$B:$B,"气血恢复")*IFERROR(SUMIFS(Coefficients!$C:$C,Coefficients!$A:$A,$B21,Coefficients!$B:$B,"气血恢复"),1)+SUMIFS(StandardParams!$D:$D,StandardParams!$B:$B,"气血恢复")*IFERROR(SUMIFS(Coefficients!$D:$D,Coefficients!$A:$A,$B21,Coefficients!$B:$B,"气血恢复"),1)*SUMIFS(TestCases!$D:$D,TestCases!$A:$A,$A21)+SUMIFS(StandardParams!$F:$F,StandardParams!$B:$B,"气血恢复")*IFERROR(SUMIFS(Coefficients!$F:$F,Coefficients!$A:$A,$B21,Coefficients!$B:$B,"气血恢复"),1)+SUMIFS(EquipPlans!$I:$I,EquipPlans!$A:$A,$C21,EquipPlans!$B:$B,"气血恢复"))</f>
      </c>
      <c r="V21">
        <f>IF($A21="","",L21/(N21+L21+500))</f>
      </c>
      <c r="W21">
        <f>IF($A21="","",M21/(O21+M21+500))</f>
      </c>
      <c r="X21">
        <f>IF($A21="","",K21/(J21+K21))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2026-09-05T03:38:11Z</dcterms:created>
  <dcterms:modified xsi:type="dcterms:W3CDTF">2026-09-05T03:38:11Z</dcterms:modified>
</cp:coreProperties>
</file>