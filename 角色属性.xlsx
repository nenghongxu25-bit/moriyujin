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檀云-青槐记\"/>
    </mc:Choice>
  </mc:AlternateContent>
  <xr:revisionPtr revIDLastSave="0" documentId="13_ncr:1_{590CC061-DB97-4FB8-BA9F-43A8BF881F88}" xr6:coauthVersionLast="47" xr6:coauthVersionMax="47" xr10:uidLastSave="{00000000-0000-0000-0000-000000000000}"/>
  <bookViews>
    <workbookView xWindow="-108" yWindow="-108" windowWidth="23256" windowHeight="12456" xr2:uid="{B62E9C6A-94BB-4D0A-923D-7C6A14A7B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L7" i="1"/>
  <c r="L6" i="1"/>
  <c r="L5" i="1"/>
  <c r="L4" i="1"/>
  <c r="L3" i="1"/>
  <c r="E18" i="1"/>
  <c r="E17" i="1"/>
  <c r="E14" i="1"/>
  <c r="E13" i="1"/>
  <c r="E12" i="1"/>
  <c r="E11" i="1"/>
  <c r="E10" i="1"/>
  <c r="L10" i="1" s="1"/>
  <c r="C26" i="1" s="1"/>
  <c r="E9" i="1"/>
  <c r="L9" i="1" l="1"/>
  <c r="L14" i="1"/>
  <c r="L12" i="1"/>
  <c r="L18" i="1"/>
  <c r="L17" i="1"/>
  <c r="L19" i="1"/>
  <c r="L11" i="1"/>
  <c r="L13" i="1"/>
  <c r="C23" i="1" s="1"/>
  <c r="C22" i="1" l="1"/>
</calcChain>
</file>

<file path=xl/sharedStrings.xml><?xml version="1.0" encoding="utf-8"?>
<sst xmlns="http://schemas.openxmlformats.org/spreadsheetml/2006/main" count="54" uniqueCount="48">
  <si>
    <t>基础属性</t>
    <phoneticPr fontId="1" type="noConversion"/>
  </si>
  <si>
    <t>臂力</t>
    <phoneticPr fontId="1" type="noConversion"/>
  </si>
  <si>
    <t>技巧</t>
    <phoneticPr fontId="1" type="noConversion"/>
  </si>
  <si>
    <t>根骨</t>
    <phoneticPr fontId="1" type="noConversion"/>
  </si>
  <si>
    <t>内息</t>
    <phoneticPr fontId="1" type="noConversion"/>
  </si>
  <si>
    <t>身法</t>
    <phoneticPr fontId="1" type="noConversion"/>
  </si>
  <si>
    <t>定力</t>
    <phoneticPr fontId="1" type="noConversion"/>
  </si>
  <si>
    <t>二级属性</t>
    <phoneticPr fontId="1" type="noConversion"/>
  </si>
  <si>
    <t>攻击</t>
    <phoneticPr fontId="1" type="noConversion"/>
  </si>
  <si>
    <t>防御</t>
    <phoneticPr fontId="1" type="noConversion"/>
  </si>
  <si>
    <t>速度</t>
    <phoneticPr fontId="1" type="noConversion"/>
  </si>
  <si>
    <t>命中</t>
    <phoneticPr fontId="1" type="noConversion"/>
  </si>
  <si>
    <t>招架</t>
    <phoneticPr fontId="1" type="noConversion"/>
  </si>
  <si>
    <t>偏斜</t>
    <phoneticPr fontId="1" type="noConversion"/>
  </si>
  <si>
    <t>抵抗</t>
    <phoneticPr fontId="1" type="noConversion"/>
  </si>
  <si>
    <t>韧性</t>
    <phoneticPr fontId="1" type="noConversion"/>
  </si>
  <si>
    <t>角色</t>
    <phoneticPr fontId="1" type="noConversion"/>
  </si>
  <si>
    <t>青槐</t>
    <phoneticPr fontId="1" type="noConversion"/>
  </si>
  <si>
    <t>气血</t>
    <phoneticPr fontId="1" type="noConversion"/>
  </si>
  <si>
    <t>基础数值</t>
    <phoneticPr fontId="1" type="noConversion"/>
  </si>
  <si>
    <t>三级属性</t>
    <phoneticPr fontId="1" type="noConversion"/>
  </si>
  <si>
    <t>免伤</t>
    <phoneticPr fontId="1" type="noConversion"/>
  </si>
  <si>
    <t>招架率</t>
    <phoneticPr fontId="1" type="noConversion"/>
  </si>
  <si>
    <t>偏斜率</t>
    <phoneticPr fontId="1" type="noConversion"/>
  </si>
  <si>
    <t>抵抗效果</t>
    <phoneticPr fontId="1" type="noConversion"/>
  </si>
  <si>
    <t>角色成长/级</t>
    <phoneticPr fontId="1" type="noConversion"/>
  </si>
  <si>
    <t>等级</t>
    <phoneticPr fontId="1" type="noConversion"/>
  </si>
  <si>
    <t>免伤率</t>
    <phoneticPr fontId="1" type="noConversion"/>
  </si>
  <si>
    <t>武学资质</t>
    <phoneticPr fontId="1" type="noConversion"/>
  </si>
  <si>
    <t>拳脚</t>
    <phoneticPr fontId="1" type="noConversion"/>
  </si>
  <si>
    <t>剑法</t>
    <phoneticPr fontId="1" type="noConversion"/>
  </si>
  <si>
    <t>棍法</t>
    <phoneticPr fontId="1" type="noConversion"/>
  </si>
  <si>
    <t>轻功</t>
    <phoneticPr fontId="1" type="noConversion"/>
  </si>
  <si>
    <t>内功</t>
    <phoneticPr fontId="1" type="noConversion"/>
  </si>
  <si>
    <t>内力</t>
    <phoneticPr fontId="1" type="noConversion"/>
  </si>
  <si>
    <t>内力回复</t>
    <phoneticPr fontId="1" type="noConversion"/>
  </si>
  <si>
    <t>气血恢复</t>
    <phoneticPr fontId="1" type="noConversion"/>
  </si>
  <si>
    <t>当前属性</t>
    <phoneticPr fontId="1" type="noConversion"/>
  </si>
  <si>
    <t>属性资质</t>
    <phoneticPr fontId="1" type="noConversion"/>
  </si>
  <si>
    <t>装备</t>
    <phoneticPr fontId="1" type="noConversion"/>
  </si>
  <si>
    <t>经脉</t>
    <phoneticPr fontId="1" type="noConversion"/>
  </si>
  <si>
    <t>武器</t>
    <phoneticPr fontId="1" type="noConversion"/>
  </si>
  <si>
    <t>护甲</t>
    <phoneticPr fontId="1" type="noConversion"/>
  </si>
  <si>
    <t>护腰</t>
    <phoneticPr fontId="1" type="noConversion"/>
  </si>
  <si>
    <t>护腕</t>
    <phoneticPr fontId="1" type="noConversion"/>
  </si>
  <si>
    <t>戒指</t>
    <phoneticPr fontId="1" type="noConversion"/>
  </si>
  <si>
    <t>吊坠</t>
    <phoneticPr fontId="1" type="noConversion"/>
  </si>
  <si>
    <t>防御免伤率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</si>
</sst>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9B67B36A-FE25-462D-A8BE-F02B34299A45}">
  <dimension ref="A1:L37"/>
  <sheetViews>
    <sheetView tabSelected="1" workbookViewId="0">
      <selection activeCell="D9" sqref="D9"/>
    </sheetView>
  </sheetViews>
  <sheetFormatPr defaultRowHeight="13.8" ns3:dyDescent="0.25"/>
  <cols>
    <col min="1" max="1" width="12.109375" style="1" customWidth="1"/>
    <col min="2" max="2" width="10.21875" style="1" customWidth="1"/>
    <col min="3" max="3" width="14.44140625" style="1" customWidth="1"/>
    <col min="4" max="4" width="13.109375" style="1" customWidth="1"/>
    <col min="5" max="5" width="10.6640625" style="1" customWidth="1"/>
    <col min="6" max="6" width="6.21875" style="1" customWidth="1"/>
    <col min="7" max="7" width="6.109375" style="1" customWidth="1"/>
    <col min="8" max="8" width="6.88671875" style="1" customWidth="1"/>
    <col min="9" max="9" width="6.109375" style="1" customWidth="1"/>
    <col min="10" max="10" width="6.88671875" style="1" customWidth="1"/>
    <col min="11" max="11" width="7.109375" style="1" customWidth="1"/>
    <col min="12" max="12" width="9.109375" style="1" customWidth="1"/>
    <col min="13" max="16384" width="8.88671875" style="1"/>
  </cols>
  <sheetData>
    <row r="1" spans="1:12" ns3:dyDescent="0.25">
      <c r="A1" s="1" t="s">
        <v>16</v>
      </c>
      <c r="B1" s="1" t="s">
        <v>17</v>
      </c>
      <c r="C1" s="1" t="s">
        <v>19</v>
      </c>
      <c r="D1" s="1" t="s">
        <v>25</v>
      </c>
      <c r="E1" s="1" t="s">
        <v>40</v>
      </c>
      <c r="F1" s="3" t="s">
        <v>39</v>
      </c>
      <c r="G1" s="3"/>
      <c r="H1" s="3"/>
      <c r="I1" s="3"/>
      <c r="J1" s="3"/>
      <c r="K1" s="3"/>
      <c r="L1" s="1" t="s">
        <v>37</v>
      </c>
    </row>
    <row r="2" spans="1:12" ns3:dyDescent="0.25">
      <c r="A2" s="1" t="s">
        <v>26</v>
      </c>
      <c r="C2" s="1">
        <v>100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</row>
    <row r="3" spans="1:12" ns3:dyDescent="0.25">
      <c r="A3" s="1" t="s">
        <v>0</v>
      </c>
      <c r="B3" s="1" t="s">
        <v>1</v>
      </c>
      <c r="C3" s="1">
        <v>10</v>
      </c>
      <c r="D3" s="1">
        <v>1</v>
      </c>
      <c r="E3" s="1">
        <v>20</v>
      </c>
      <c r="L3" s="1">
        <f>C3+1*C2*C32+E3</f>
        <v>130</v>
      </c>
    </row>
    <row r="4" spans="1:12" ns3:dyDescent="0.25">
      <c r="B4" s="1" t="s">
        <v>2</v>
      </c>
      <c r="C4" s="1">
        <v>10</v>
      </c>
      <c r="D4" s="1">
        <v>1</v>
      </c>
      <c r="E4" s="1">
        <v>20</v>
      </c>
      <c r="L4" s="1">
        <f>C4+1*C2*C33+E4</f>
        <v>130</v>
      </c>
    </row>
    <row r="5" spans="1:12" ns3:dyDescent="0.25">
      <c r="B5" s="1" t="s">
        <v>3</v>
      </c>
      <c r="C5" s="1">
        <v>10</v>
      </c>
      <c r="D5" s="1">
        <v>1</v>
      </c>
      <c r="E5" s="1">
        <v>20</v>
      </c>
      <c r="L5" s="1">
        <f>C5+1*C2*C34+E5</f>
        <v>130</v>
      </c>
    </row>
    <row r="6" spans="1:12" ns3:dyDescent="0.25">
      <c r="B6" s="1" t="s">
        <v>4</v>
      </c>
      <c r="C6" s="1">
        <v>10</v>
      </c>
      <c r="D6" s="1">
        <v>1</v>
      </c>
      <c r="E6" s="1">
        <v>20</v>
      </c>
      <c r="L6" s="1">
        <f>C6+1*C2*C35+E6</f>
        <v>130</v>
      </c>
    </row>
    <row r="7" spans="1:12" ns3:dyDescent="0.25">
      <c r="B7" s="1" t="s">
        <v>5</v>
      </c>
      <c r="C7" s="1">
        <v>10</v>
      </c>
      <c r="D7" s="1">
        <v>1</v>
      </c>
      <c r="E7" s="1">
        <v>20</v>
      </c>
      <c r="L7" s="1">
        <f>C7+1*C2*C36+E7</f>
        <v>130</v>
      </c>
    </row>
    <row r="8" spans="1:12" ns3:dyDescent="0.25">
      <c r="B8" s="1" t="s">
        <v>6</v>
      </c>
      <c r="C8" s="1">
        <v>10</v>
      </c>
      <c r="D8" s="1">
        <v>1</v>
      </c>
      <c r="E8" s="1">
        <v>20</v>
      </c>
      <c r="L8" s="1">
        <f>C8+1*C2*C37+E8</f>
        <v>130</v>
      </c>
    </row>
    <row r="9" spans="1:12" ns3:dyDescent="0.25">
      <c r="A9" s="1" t="s">
        <v>7</v>
      </c>
      <c r="B9" s="1" t="s">
        <v>8</v>
      </c>
      <c r="C9" s="1">
        <v>100</v>
      </c>
      <c r="D9" s="1">
        <v>20</v>
      </c>
      <c r="E9" s="1">
        <f>50+110+180+150</f>
        <v>490</v>
      </c>
      <c r="F9" s="1">
        <v>1000</v>
      </c>
      <c r="L9" s="1">
        <f>C9+D9*C2+L3*4+E9+F9</f>
        <v>4110</v>
      </c>
    </row>
    <row r="10" spans="1:12" ns3:dyDescent="0.25">
      <c r="B10" s="1" t="s">
        <v>9</v>
      </c>
      <c r="C10" s="1">
        <v>100</v>
      </c>
      <c r="D10" s="1">
        <v>20</v>
      </c>
      <c r="E10" s="1">
        <f>70+246+140+360+640</f>
        <v>1456</v>
      </c>
      <c r="G10" s="1">
        <v>1000</v>
      </c>
      <c r="H10" s="1">
        <v>500</v>
      </c>
      <c r="K10" s="1">
        <v>500</v>
      </c>
      <c r="L10" s="1">
        <f>C10+D10*C2+E10+G10+H10+K10</f>
        <v>5556</v>
      </c>
    </row>
    <row r="11" spans="1:12" ns3:dyDescent="0.25">
      <c r="B11" s="1" t="s">
        <v>10</v>
      </c>
      <c r="C11" s="1">
        <v>20</v>
      </c>
      <c r="D11" s="1">
        <v>5</v>
      </c>
      <c r="E11" s="1">
        <f>80+40+120+160+140</f>
        <v>540</v>
      </c>
      <c r="H11" s="1">
        <v>150</v>
      </c>
      <c r="J11" s="1">
        <v>150</v>
      </c>
      <c r="L11" s="1">
        <f>C11+D11*C2+L7*2+E11+H11+J11</f>
        <v>1620</v>
      </c>
    </row>
    <row r="12" spans="1:12" ns3:dyDescent="0.25">
      <c r="B12" s="1" t="s">
        <v>11</v>
      </c>
      <c r="C12" s="1">
        <v>20</v>
      </c>
      <c r="D12" s="1">
        <v>5</v>
      </c>
      <c r="E12" s="1">
        <f>40+80+130+180+160</f>
        <v>590</v>
      </c>
      <c r="F12" s="1">
        <v>250</v>
      </c>
      <c r="I12" s="1">
        <v>150</v>
      </c>
      <c r="J12" s="1">
        <v>150</v>
      </c>
      <c r="L12" s="1">
        <f>C12+D12*C2+L4*2+E12+F12+I12+J12</f>
        <v>1920</v>
      </c>
    </row>
    <row r="13" spans="1:12" ns3:dyDescent="0.25">
      <c r="B13" s="1" t="s">
        <v>12</v>
      </c>
      <c r="C13" s="1">
        <v>20</v>
      </c>
      <c r="D13" s="1">
        <v>5</v>
      </c>
      <c r="E13" s="1">
        <f>50+70+140+180</f>
        <v>440</v>
      </c>
      <c r="I13" s="1">
        <v>150</v>
      </c>
      <c r="L13" s="1">
        <f>C13+D13*C2+L4*2+E13+I13</f>
        <v>1370</v>
      </c>
    </row>
    <row r="14" spans="1:12" ns3:dyDescent="0.25">
      <c r="B14" s="1" t="s">
        <v>13</v>
      </c>
      <c r="C14" s="1">
        <v>20</v>
      </c>
      <c r="D14" s="1">
        <v>5</v>
      </c>
      <c r="E14" s="1">
        <f>200+60+120+240+200</f>
        <v>820</v>
      </c>
      <c r="K14" s="1">
        <v>150</v>
      </c>
      <c r="L14" s="1">
        <f>C14+D14*C2+L7*2+E14+K14</f>
        <v>1750</v>
      </c>
    </row>
    <row r="15" spans="1:12" ns3:dyDescent="0.25">
      <c r="B15" s="1" t="s">
        <v>14</v>
      </c>
      <c r="C15" s="1">
        <v>0</v>
      </c>
      <c r="D15" s="1">
        <v>0</v>
      </c>
    </row>
    <row r="16" spans="1:12" ns3:dyDescent="0.25">
      <c r="B16" s="1" t="s">
        <v>15</v>
      </c>
      <c r="C16" s="1">
        <v>0</v>
      </c>
      <c r="D16" s="1">
        <v>0</v>
      </c>
    </row>
    <row r="17" spans="1:12" ns3:dyDescent="0.25">
      <c r="B17" s="1" t="s">
        <v>18</v>
      </c>
      <c r="C17" s="1">
        <v>500</v>
      </c>
      <c r="D17" s="1">
        <v>100</v>
      </c>
      <c r="E17" s="1">
        <f>200+740+1200+900</f>
        <v>3040</v>
      </c>
      <c r="G17" s="1">
        <v>5000</v>
      </c>
      <c r="L17" s="1">
        <f>C17+D17*C2+L5*20+E17+G17</f>
        <v>21140</v>
      </c>
    </row>
    <row r="18" spans="1:12" ns3:dyDescent="0.25">
      <c r="B18" s="1" t="s">
        <v>34</v>
      </c>
      <c r="C18" s="1">
        <v>200</v>
      </c>
      <c r="D18" s="1">
        <v>40</v>
      </c>
      <c r="E18" s="1">
        <f>1650</f>
        <v>1650</v>
      </c>
      <c r="L18" s="1">
        <f>C18+D18*C2+L6*10+E18</f>
        <v>7150</v>
      </c>
    </row>
    <row r="19" spans="1:12" ns3:dyDescent="0.25">
      <c r="B19" s="1" t="s">
        <v>35</v>
      </c>
      <c r="C19" s="1">
        <v>10</v>
      </c>
      <c r="D19" s="1">
        <v>2</v>
      </c>
      <c r="E19" s="1">
        <v>75</v>
      </c>
      <c r="L19" s="1">
        <f>C19+D19*C2+L6*0.5+E19</f>
        <v>350</v>
      </c>
    </row>
    <row r="20" spans="1:12" ns3:dyDescent="0.25">
      <c r="B20" s="1" t="s">
        <v>36</v>
      </c>
      <c r="C20" s="1">
        <v>10</v>
      </c>
      <c r="D20" s="1">
        <v>1</v>
      </c>
    </row>
    <row r="21" spans="1:12" ns3:dyDescent="0.25">
      <c r="A21" s="1" t="s">
        <v>20</v>
      </c>
      <c r="B21" s="1" t="s">
        <v>21</v>
      </c>
      <c r="C21" s="2">
        <v>0</v>
      </c>
      <c r="D21" s="2"/>
    </row>
    <row r="22" spans="1:12" ns3:dyDescent="0.25">
      <c r="B22" s="1" t="s">
        <v>22</v>
      </c>
      <c r="C22" s="1">
        <f>(L11/(L13+L11+500))</f>
        <v>0.46418338108882523</v>
      </c>
    </row>
    <row r="23" spans="1:12" ns3:dyDescent="0.25">
      <c r="B23" s="1" t="s">
        <v>23</v>
      </c>
      <c r="C23" s="1">
        <f>(L12/(L14+L12+500))</f>
        <v>0.460431654676259</v>
      </c>
    </row>
    <row r="24" spans="1:12" ns3:dyDescent="0.25">
      <c r="B24" s="1" t="s">
        <v>24</v>
      </c>
    </row>
    <row r="25" spans="1:12" ns3:dyDescent="0.25">
      <c r="B25" s="1" t="s">
        <v>27</v>
      </c>
    </row>
    <row r="26" spans="1:12" ns3:dyDescent="0.25">
      <c r="B26" s="1" t="s">
        <v>47</v>
      </c>
      <c r="C26" s="1">
        <f>(L10/(L10+7500))</f>
        <v>0.42555147058823528</v>
      </c>
    </row>
    <row r="27" spans="1:12" ns3:dyDescent="0.25">
      <c r="A27" s="1" t="s">
        <v>28</v>
      </c>
      <c r="B27" s="1" t="s">
        <v>29</v>
      </c>
      <c r="C27" s="1">
        <v>1</v>
      </c>
    </row>
    <row r="28" spans="1:12" ns3:dyDescent="0.25">
      <c r="B28" s="1" t="s">
        <v>30</v>
      </c>
      <c r="C28" s="1">
        <v>1</v>
      </c>
    </row>
    <row r="29" spans="1:12" ns3:dyDescent="0.25">
      <c r="B29" s="1" t="s">
        <v>31</v>
      </c>
      <c r="C29" s="1">
        <v>1</v>
      </c>
    </row>
    <row r="30" spans="1:12" ns3:dyDescent="0.25">
      <c r="B30" s="1" t="s">
        <v>32</v>
      </c>
      <c r="C30" s="1">
        <v>1</v>
      </c>
    </row>
    <row r="31" spans="1:12" ns3:dyDescent="0.25">
      <c r="B31" s="1" t="s">
        <v>33</v>
      </c>
      <c r="C31" s="1">
        <v>1</v>
      </c>
    </row>
    <row r="32" spans="1:12" ns3:dyDescent="0.25">
      <c r="A32" s="1" t="s">
        <v>38</v>
      </c>
      <c r="B32" s="1" t="s">
        <v>1</v>
      </c>
      <c r="C32" s="1">
        <v>1</v>
      </c>
    </row>
    <row r="33" spans="2:3" ns3:dyDescent="0.25">
      <c r="B33" s="1" t="s">
        <v>2</v>
      </c>
      <c r="C33" s="1">
        <v>1</v>
      </c>
    </row>
    <row r="34" spans="2:3" ns3:dyDescent="0.25">
      <c r="B34" s="1" t="s">
        <v>3</v>
      </c>
      <c r="C34" s="1">
        <v>1</v>
      </c>
    </row>
    <row r="35" spans="2:3" ns3:dyDescent="0.25">
      <c r="B35" s="1" t="s">
        <v>4</v>
      </c>
      <c r="C35" s="1">
        <v>1</v>
      </c>
    </row>
    <row r="36" spans="2:3" ns3:dyDescent="0.25">
      <c r="B36" s="1" t="s">
        <v>5</v>
      </c>
      <c r="C36" s="1">
        <v>1</v>
      </c>
    </row>
    <row r="37" spans="2:3" ns3:dyDescent="0.25">
      <c r="B37" s="1" t="s">
        <v>6</v>
      </c>
      <c r="C37" s="1">
        <v>1</v>
      </c>
    </row>
  </sheetData>
  <mergeCells count="1">
    <mergeCell ref="F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能宏 许·</dc:creator>
  <cp:lastModifiedBy>能宏 许·</cp:lastModifiedBy>
  <dcterms:created xsi:type="dcterms:W3CDTF">2026-09-02T02:06:29Z</dcterms:created>
  <dcterms:modified xsi:type="dcterms:W3CDTF">2026-09-02T03:20:45Z</dcterms:modified>
</cp:coreProperties>
</file>